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300" tabRatio="599"/>
  </bookViews>
  <sheets>
    <sheet name="汇总表" sheetId="1" r:id="rId1"/>
    <sheet name="分类表" sheetId="2" r:id="rId2"/>
    <sheet name="数据源" sheetId="3" r:id="rId3"/>
    <sheet name="数据分析表" sheetId="4" r:id="rId4"/>
  </sheets>
  <definedNames>
    <definedName name="_xlnm._FilterDatabase" localSheetId="0" hidden="1">汇总表!$A$3:$Q$33</definedName>
    <definedName name="_xlnm.Print_Area" localSheetId="0">汇总表!$A$1:$P$33</definedName>
    <definedName name="_xlnm.Print_Area" localSheetId="1">分类表!$A$1:$P$53</definedName>
    <definedName name="_xlnm._FilterDatabase" localSheetId="1" hidden="1">分类表!$A$3:$P$53</definedName>
    <definedName name="_xlnm._FilterDatabase" localSheetId="2" hidden="1">数据源!$A$1:$Q$44</definedName>
  </definedNames>
  <calcPr calcId="144525"/>
</workbook>
</file>

<file path=xl/sharedStrings.xml><?xml version="1.0" encoding="utf-8"?>
<sst xmlns="http://schemas.openxmlformats.org/spreadsheetml/2006/main" count="328" uniqueCount="171">
  <si>
    <t>准入项目汇总表</t>
  </si>
  <si>
    <t>2025年第43次立项准入                    准入时间：2025年11月22日</t>
  </si>
  <si>
    <t>序号</t>
  </si>
  <si>
    <t>部门</t>
  </si>
  <si>
    <t>客户名称</t>
  </si>
  <si>
    <t>项目类型</t>
  </si>
  <si>
    <t>是否实体</t>
  </si>
  <si>
    <t>推荐渠道</t>
  </si>
  <si>
    <t>五租类别</t>
  </si>
  <si>
    <t>租赁物</t>
  </si>
  <si>
    <t>项目金额(万)</t>
  </si>
  <si>
    <t>期限（月）</t>
  </si>
  <si>
    <t>IRR</t>
  </si>
  <si>
    <t>市</t>
  </si>
  <si>
    <t>县/区</t>
  </si>
  <si>
    <t>担保手续</t>
  </si>
  <si>
    <t>主办人</t>
  </si>
  <si>
    <t>准入意见</t>
  </si>
  <si>
    <t>备注</t>
  </si>
  <si>
    <t>幸福产业业务部</t>
  </si>
  <si>
    <t>小计</t>
  </si>
  <si>
    <t>绿色金融业务部</t>
  </si>
  <si>
    <t>中技(北京)新能源电力有限公司</t>
  </si>
  <si>
    <t>直租</t>
  </si>
  <si>
    <t>是</t>
  </si>
  <si>
    <t>江苏银行北京分行</t>
  </si>
  <si>
    <t>传统租</t>
  </si>
  <si>
    <t>光伏组件、逆变器等相关设备</t>
  </si>
  <si>
    <t>北京</t>
  </si>
  <si>
    <t>经济开发区</t>
  </si>
  <si>
    <t>信用担保</t>
  </si>
  <si>
    <t>张睿轩</t>
  </si>
  <si>
    <t>建湖县辉农农业发展有限公司</t>
  </si>
  <si>
    <t>回租</t>
  </si>
  <si>
    <t>否</t>
  </si>
  <si>
    <t>江苏银行盐城分行</t>
  </si>
  <si>
    <t>制粒机、播种机筛等农机设备</t>
  </si>
  <si>
    <t>盐城</t>
  </si>
  <si>
    <t>建湖</t>
  </si>
  <si>
    <t>建湖县高新投资发展有限公司（AA）提供连带责任保证担保</t>
  </si>
  <si>
    <t>建湖县富邦农业发展有限公司</t>
  </si>
  <si>
    <t>风选机、比重选种机、滚筒筛等林木种子生产设备</t>
  </si>
  <si>
    <t>李晓行</t>
  </si>
  <si>
    <t>江苏盐新科技发展有限公司</t>
  </si>
  <si>
    <t>叉车等装卸设备、堆垛机等仓储设备</t>
  </si>
  <si>
    <t>盐城经开城建投资集团有限公司（AA）提供连带责任保证担保</t>
  </si>
  <si>
    <t>赵康</t>
  </si>
  <si>
    <t>实控人集团维持类，先线下准入</t>
  </si>
  <si>
    <t>泰州市滨江污水处理有限公司</t>
  </si>
  <si>
    <t>直转回</t>
  </si>
  <si>
    <t>直销</t>
  </si>
  <si>
    <t>污水处理设备</t>
  </si>
  <si>
    <t>泰州市</t>
  </si>
  <si>
    <t>高新区</t>
  </si>
  <si>
    <t>泰州国控投资集团有限公司（AAA）保证担保</t>
  </si>
  <si>
    <t>汪静</t>
  </si>
  <si>
    <t>湖州经开智慧停车管理有限公司</t>
  </si>
  <si>
    <t>停车管理系统设备、充电桩、供电设备</t>
  </si>
  <si>
    <t>湖州市</t>
  </si>
  <si>
    <t>经开区</t>
  </si>
  <si>
    <t>湖州经开投资发展集团有限公司（AA+）提供保证担保</t>
  </si>
  <si>
    <t>许烨</t>
  </si>
  <si>
    <t>盐城盈达供应链管理有限公司</t>
  </si>
  <si>
    <t>江苏银行金穗支行</t>
  </si>
  <si>
    <t>仓储物流设备一批</t>
  </si>
  <si>
    <t>盐城市</t>
  </si>
  <si>
    <t>江苏汉行智能科技有限公司</t>
  </si>
  <si>
    <t>生产设备一批</t>
  </si>
  <si>
    <t>交通物流业务部</t>
  </si>
  <si>
    <t>高端制造业务部</t>
  </si>
  <si>
    <t>科技金融业务部</t>
  </si>
  <si>
    <t>能源产业业务部</t>
  </si>
  <si>
    <t>江苏海阅实业有限公司</t>
  </si>
  <si>
    <t>自主营销</t>
  </si>
  <si>
    <t>设备一批，以承租人的金属切削设备、焊接设备、装配设备等设备作为租赁物</t>
  </si>
  <si>
    <t>大丰区</t>
  </si>
  <si>
    <t>盐城市大丰区交通控股集团有限公司供连带责任保证担保</t>
  </si>
  <si>
    <t>周瑞</t>
  </si>
  <si>
    <t>上海启源芯动力科技有限公司</t>
  </si>
  <si>
    <t>直销/存量客户拓展</t>
  </si>
  <si>
    <t>充换电站设备等</t>
  </si>
  <si>
    <t>不超过48个月</t>
  </si>
  <si>
    <t>银票后不低于3.5%</t>
  </si>
  <si>
    <t>上海市</t>
  </si>
  <si>
    <t>青浦区</t>
  </si>
  <si>
    <t>租赁物抵押</t>
  </si>
  <si>
    <t>陈盈蒙</t>
  </si>
  <si>
    <t>普惠金融业务部</t>
  </si>
  <si>
    <t>安吉芯创集成电路产业发展股份有限公司</t>
  </si>
  <si>
    <t>租赁物为承租人拟采购的冷热水系统及设备、超纯水系统及设备、废水系统及设备、特气系统及设备、动力设备等一批。</t>
  </si>
  <si>
    <t>湖州</t>
  </si>
  <si>
    <t>安吉</t>
  </si>
  <si>
    <t>浙江安吉国控建设发展集团有限公司(公募AA+评级)提供连带责任保证担保</t>
  </si>
  <si>
    <t>司先军</t>
  </si>
  <si>
    <t>盐城登瀛水务有限公司</t>
  </si>
  <si>
    <t>租赁物为承租人名下的一体化水处理设备等机器设备一批。</t>
  </si>
  <si>
    <t>亭湖</t>
  </si>
  <si>
    <t>盐城城北开发建设投资有限公司（主体评级AA+）提供连带责任担保</t>
  </si>
  <si>
    <t>郝文清</t>
  </si>
  <si>
    <t>江苏苏盐阀门驱动装置有限公司</t>
  </si>
  <si>
    <t>回租/直转回</t>
  </si>
  <si>
    <t>宁波银行南京分行</t>
  </si>
  <si>
    <t>回租部分租赁物为承租人名下的数控车床、切割机、焊接机等设备一批；直转回部分租赁物为承租人拟采购的工业自动化设备等。</t>
  </si>
  <si>
    <t>7000/3000</t>
  </si>
  <si>
    <t>48个月/60个月</t>
  </si>
  <si>
    <t>8.2%/6.5%</t>
  </si>
  <si>
    <t>滨海</t>
  </si>
  <si>
    <t>滨海县农旅集团有限公司（AA）提供连带责任保证担保</t>
  </si>
  <si>
    <t>薛煜民</t>
  </si>
  <si>
    <t>铜陵天铸科技有限公司</t>
  </si>
  <si>
    <t>苏商银行</t>
  </si>
  <si>
    <t>租赁物为矿用挖掘机、轮式装载机、破碎机等。</t>
  </si>
  <si>
    <t>铜陵</t>
  </si>
  <si>
    <t>义安</t>
  </si>
  <si>
    <t>安徽耀安投资集团有限公司（AA）提供连带责任担保</t>
  </si>
  <si>
    <t>焦吴英松</t>
  </si>
  <si>
    <t>江苏松颐智能制造有限公司</t>
  </si>
  <si>
    <t>租赁物为承租人拟采购的机械臂、车床、配电相关设备等设备一批。</t>
  </si>
  <si>
    <t>王雅妮</t>
  </si>
  <si>
    <t>连云港华兴新材料科技有限公司</t>
  </si>
  <si>
    <t>租赁物为承租人名下的圆锥破碎机、回转窑、预热器、篦冷机等生产设备一批。</t>
  </si>
  <si>
    <t>连云港</t>
  </si>
  <si>
    <t>灌云</t>
  </si>
  <si>
    <t>连云港市城建控股集团有限公司（公募AA+主体）提供连带责任保证担保</t>
  </si>
  <si>
    <t>徐宽</t>
  </si>
  <si>
    <t>新兴产业业务部</t>
  </si>
  <si>
    <t>合计</t>
  </si>
  <si>
    <t>准入项目分类表</t>
  </si>
  <si>
    <t>2024年第48次立项准入                   准入时间：2024年12月18日</t>
  </si>
  <si>
    <t>客户类型</t>
  </si>
  <si>
    <t>同意准入项目</t>
  </si>
  <si>
    <t>否决项目</t>
  </si>
  <si>
    <t>再议项目</t>
  </si>
  <si>
    <t>行业分布</t>
  </si>
  <si>
    <t>2025年第5次准入项目情况</t>
  </si>
  <si>
    <t>时间：2024年12月20日</t>
  </si>
  <si>
    <r>
      <rPr>
        <sz val="15"/>
        <rFont val="仿宋"/>
        <charset val="134"/>
      </rPr>
      <t xml:space="preserve"> </t>
    </r>
    <r>
      <rPr>
        <b/>
        <sz val="15"/>
        <rFont val="仿宋"/>
        <charset val="134"/>
      </rPr>
      <t xml:space="preserve">   一、本周准入项目整体情况</t>
    </r>
    <r>
      <rPr>
        <sz val="15"/>
        <rFont val="仿宋"/>
        <charset val="134"/>
      </rPr>
      <t xml:space="preserve">
    本周准入项目51笔，金额合计83.62亿元，通过项目9笔，金额合计24.62亿元；否决项目2笔，金额1.50亿元，再议项目40笔，金额57.50亿元。
    </t>
    </r>
    <r>
      <rPr>
        <b/>
        <sz val="15"/>
        <rFont val="仿宋"/>
        <charset val="134"/>
      </rPr>
      <t>二、本周准入项目主要结论</t>
    </r>
    <r>
      <rPr>
        <sz val="15"/>
        <rFont val="仿宋"/>
        <charset val="134"/>
      </rPr>
      <t xml:space="preserve">
    1、本周准入通过实体类项目合计7笔，金额22.62亿元，涉及行业包括C端汽车租赁、废旧金属回收、光伏发电、钢铁行业、精细化工、有色金属。
    2、本周准入通过政府背景类项目合计2笔，金额2.00亿元，加权平均价格5.92%。
    </t>
    </r>
    <r>
      <rPr>
        <b/>
        <sz val="15"/>
        <rFont val="仿宋"/>
        <charset val="134"/>
      </rPr>
      <t xml:space="preserve">三、准入项目具体明细（单位：万元）   </t>
    </r>
    <r>
      <rPr>
        <sz val="15"/>
        <rFont val="仿宋"/>
        <charset val="134"/>
      </rPr>
      <t xml:space="preserve">  
    从部门方面来看，幸福产业业务部通过项目数量和金额最多，分别为2笔和11.82亿元。具体详见下表：</t>
    </r>
  </si>
  <si>
    <t>准入笔数</t>
  </si>
  <si>
    <t>准入金额</t>
  </si>
  <si>
    <t>通过笔数</t>
  </si>
  <si>
    <t>通过金额</t>
  </si>
  <si>
    <t>普惠（车辆）金融业务部</t>
  </si>
  <si>
    <t xml:space="preserve">    从区域分布和客户类型方面来看，江苏省内及省外分行有分支机构区域通过项目4笔，占比44.44%；政府背景客户通过项目最多为2笔，占比22.22%。具体详见下表：</t>
  </si>
  <si>
    <t>区域分布</t>
  </si>
  <si>
    <t>江苏省</t>
  </si>
  <si>
    <t>政府背景客户</t>
  </si>
  <si>
    <t>省外分行有分支机构</t>
  </si>
  <si>
    <t>国有企业</t>
  </si>
  <si>
    <t>安徽省</t>
  </si>
  <si>
    <t>民营企业</t>
  </si>
  <si>
    <t>其他</t>
  </si>
  <si>
    <t xml:space="preserve">    从价格分布和业务品种方面来看，IRR达到6%及以上项目共计4笔，占比44.44%；直租、直转回项目合计4笔，占比44.44%。具体详见下表：</t>
  </si>
  <si>
    <t>价格分布</t>
  </si>
  <si>
    <t>业务品种</t>
  </si>
  <si>
    <t>5%以下</t>
  </si>
  <si>
    <t>5%（含）-5.5%</t>
  </si>
  <si>
    <t>5.5%（含）-6%</t>
  </si>
  <si>
    <t>6%（含）-6.5%</t>
  </si>
  <si>
    <t>担保授信</t>
  </si>
  <si>
    <t>6.5%（含）-7%</t>
  </si>
  <si>
    <t>经营租</t>
  </si>
  <si>
    <t>7%（含）以上</t>
  </si>
  <si>
    <t xml:space="preserve">    从项目来源和项目期限方面来看，行司联动推荐项目1笔，占比11.11%；60月（含）及以上项目3笔，占比33.33%。具体详见下表：</t>
  </si>
  <si>
    <t>项目来源</t>
  </si>
  <si>
    <t>项目期限</t>
  </si>
  <si>
    <t>江苏银行</t>
  </si>
  <si>
    <t>12月以下</t>
  </si>
  <si>
    <t>12月（含）-36月</t>
  </si>
  <si>
    <t>36月（含）-60月</t>
  </si>
  <si>
    <t>60月（含）-120月</t>
  </si>
  <si>
    <t>120月（含）以上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</si>
</sst>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  <numFmt numFmtId="177" formatCode="#,##0_);[Red]\(#,##0\)"/>
    <numFmt numFmtId="178" formatCode="0.00_ "/>
    <numFmt numFmtId="179" formatCode="#,##0.00_);[Red]\(#,##0.00\)"/>
  </numFmts>
  <fonts count="46">
    <font>
      <sz val="11"/>
      <name val="宋体"/>
      <charset val="134"/>
    </font>
    <font>
      <sz val="18"/>
      <name val="宋体"/>
      <charset val="134"/>
    </font>
    <font>
      <sz val="14"/>
      <name val="宋体"/>
      <charset val="134"/>
    </font>
    <font>
      <sz val="20"/>
      <name val="黑体"/>
      <charset val="134"/>
    </font>
    <font>
      <sz val="20"/>
      <name val="宋体"/>
      <charset val="134"/>
    </font>
    <font>
      <sz val="16"/>
      <name val="黑体"/>
      <charset val="134"/>
    </font>
    <font>
      <sz val="18"/>
      <name val="仿宋"/>
      <charset val="134"/>
    </font>
    <font>
      <sz val="15"/>
      <name val="仿宋"/>
      <charset val="134"/>
    </font>
    <font>
      <b/>
      <sz val="14"/>
      <name val="仿宋"/>
      <charset val="134"/>
    </font>
    <font>
      <sz val="14"/>
      <name val="仿宋"/>
      <charset val="134"/>
    </font>
    <font>
      <sz val="14"/>
      <color rgb="FFFF0000"/>
      <name val="仿宋"/>
      <charset val="134"/>
    </font>
    <font>
      <sz val="11"/>
      <name val="仿宋"/>
      <charset val="134"/>
    </font>
    <font>
      <b/>
      <sz val="12"/>
      <name val="仿宋"/>
      <charset val="134"/>
    </font>
    <font>
      <sz val="12"/>
      <name val="仿宋"/>
      <charset val="134"/>
    </font>
    <font>
      <sz val="12"/>
      <color rgb="FF000000"/>
      <name val="仿宋"/>
      <charset val="134"/>
    </font>
    <font>
      <b/>
      <sz val="12"/>
      <color rgb="FF000000"/>
      <name val="仿宋"/>
      <charset val="134"/>
    </font>
    <font>
      <b/>
      <sz val="22"/>
      <name val="仿宋"/>
      <charset val="134"/>
    </font>
    <font>
      <b/>
      <sz val="14"/>
      <color rgb="FFFF0000"/>
      <name val="仿宋"/>
      <charset val="134"/>
    </font>
    <font>
      <sz val="11"/>
      <color rgb="FFFF0000"/>
      <name val="宋体"/>
      <charset val="134"/>
    </font>
    <font>
      <b/>
      <sz val="20"/>
      <name val="仿宋"/>
      <charset val="134"/>
    </font>
    <font>
      <sz val="14"/>
      <color rgb="FF000000"/>
      <name val="仿宋"/>
      <charset val="134"/>
    </font>
    <font>
      <b/>
      <sz val="14"/>
      <color rgb="FF000000"/>
      <name val="仿宋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0000"/>
      <name val="宋体"/>
      <charset val="134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indexed="8"/>
      <name val="宋体"/>
      <charset val="134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b/>
      <sz val="15"/>
      <name val="仿宋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6" borderId="10" applyNumberFormat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43" fontId="26" fillId="0" borderId="0">
      <protection locked="0"/>
    </xf>
    <xf numFmtId="0" fontId="27" fillId="9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26" fillId="0" borderId="0">
      <protection locked="0"/>
    </xf>
    <xf numFmtId="0" fontId="29" fillId="0" borderId="0" applyNumberFormat="0" applyFill="0" applyBorder="0" applyAlignment="0" applyProtection="0">
      <alignment vertical="center"/>
    </xf>
    <xf numFmtId="0" fontId="22" fillId="10" borderId="11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9" fontId="35" fillId="0" borderId="0">
      <protection locked="0"/>
    </xf>
    <xf numFmtId="0" fontId="36" fillId="0" borderId="12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0" fillId="0" borderId="13" applyNumberFormat="0" applyFill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37" fillId="14" borderId="14" applyNumberFormat="0" applyAlignment="0" applyProtection="0">
      <alignment vertical="center"/>
    </xf>
    <xf numFmtId="0" fontId="38" fillId="14" borderId="10" applyNumberFormat="0" applyAlignment="0" applyProtection="0">
      <alignment vertical="center"/>
    </xf>
    <xf numFmtId="0" fontId="39" fillId="15" borderId="15" applyNumberFormat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40" fillId="0" borderId="16" applyNumberFormat="0" applyFill="0" applyAlignment="0" applyProtection="0">
      <alignment vertical="center"/>
    </xf>
    <xf numFmtId="0" fontId="41" fillId="0" borderId="17" applyNumberFormat="0" applyFill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44" fillId="0" borderId="0">
      <protection locked="0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0" borderId="0">
      <protection locked="0"/>
    </xf>
  </cellStyleXfs>
  <cellXfs count="14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justify" vertical="center" wrapText="1"/>
    </xf>
    <xf numFmtId="0" fontId="6" fillId="0" borderId="0" xfId="0" applyFont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right" vertical="center"/>
    </xf>
    <xf numFmtId="0" fontId="9" fillId="0" borderId="1" xfId="38" applyFont="1" applyBorder="1" applyAlignment="1" applyProtection="1">
      <alignment horizontal="justify" vertical="center" wrapText="1"/>
    </xf>
    <xf numFmtId="0" fontId="9" fillId="0" borderId="1" xfId="0" applyFont="1" applyBorder="1" applyAlignment="1">
      <alignment horizontal="justify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justify" vertical="center" wrapText="1"/>
    </xf>
    <xf numFmtId="3" fontId="8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justify" vertical="center"/>
    </xf>
    <xf numFmtId="0" fontId="7" fillId="0" borderId="0" xfId="0" applyFont="1" applyAlignment="1">
      <alignment horizontal="justify" vertical="center"/>
    </xf>
    <xf numFmtId="3" fontId="9" fillId="0" borderId="1" xfId="0" applyNumberFormat="1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right" vertical="center"/>
    </xf>
    <xf numFmtId="0" fontId="9" fillId="0" borderId="1" xfId="0" applyFont="1" applyBorder="1">
      <alignment vertical="center"/>
    </xf>
    <xf numFmtId="0" fontId="11" fillId="0" borderId="0" xfId="0" applyAlignment="1">
      <alignment horizontal="center" vertical="center"/>
    </xf>
    <xf numFmtId="176" fontId="11" fillId="0" borderId="0" xfId="0" applyNumberFormat="1" applyAlignment="1">
      <alignment horizontal="right" vertical="center"/>
    </xf>
    <xf numFmtId="0" fontId="8" fillId="0" borderId="1" xfId="38" applyFont="1" applyBorder="1" applyAlignment="1" applyProtection="1">
      <alignment horizontal="center" vertical="center" wrapText="1"/>
    </xf>
    <xf numFmtId="0" fontId="12" fillId="0" borderId="1" xfId="38" applyFont="1" applyBorder="1" applyAlignment="1" applyProtection="1">
      <alignment horizontal="center" vertical="center" wrapText="1"/>
    </xf>
    <xf numFmtId="0" fontId="13" fillId="0" borderId="1" xfId="38" applyBorder="1" applyAlignment="1" applyProtection="1">
      <alignment horizontal="center" vertical="center" wrapText="1"/>
    </xf>
    <xf numFmtId="0" fontId="14" fillId="0" borderId="1" xfId="51" applyFont="1" applyBorder="1" applyAlignment="1" applyProtection="1">
      <alignment horizontal="center" vertical="center" wrapText="1"/>
    </xf>
    <xf numFmtId="0" fontId="15" fillId="0" borderId="1" xfId="38" applyFont="1" applyBorder="1" applyAlignment="1" applyProtection="1">
      <alignment horizontal="center" vertical="center" wrapText="1"/>
    </xf>
    <xf numFmtId="0" fontId="12" fillId="0" borderId="2" xfId="38" applyFont="1" applyBorder="1" applyAlignment="1" applyProtection="1">
      <alignment horizontal="center" vertical="center" wrapText="1"/>
    </xf>
    <xf numFmtId="0" fontId="13" fillId="0" borderId="1" xfId="38" applyFont="1" applyBorder="1" applyAlignment="1" applyProtection="1">
      <alignment horizontal="center" vertical="center" wrapText="1"/>
    </xf>
    <xf numFmtId="176" fontId="8" fillId="0" borderId="1" xfId="38" applyNumberFormat="1" applyFont="1" applyBorder="1" applyAlignment="1" applyProtection="1">
      <alignment horizontal="right" vertical="center" wrapText="1"/>
    </xf>
    <xf numFmtId="10" fontId="8" fillId="0" borderId="1" xfId="11" applyNumberFormat="1" applyFont="1" applyBorder="1" applyAlignment="1">
      <alignment horizontal="center" vertical="center" wrapText="1"/>
      <protection locked="0"/>
    </xf>
    <xf numFmtId="10" fontId="8" fillId="0" borderId="1" xfId="20" applyNumberFormat="1" applyFont="1" applyBorder="1" applyAlignment="1">
      <alignment horizontal="center" vertical="center" wrapText="1"/>
      <protection locked="0"/>
    </xf>
    <xf numFmtId="176" fontId="13" fillId="0" borderId="1" xfId="0" applyNumberFormat="1" applyFont="1" applyBorder="1" applyAlignment="1">
      <alignment horizontal="right" vertical="center"/>
    </xf>
    <xf numFmtId="10" fontId="13" fillId="0" borderId="1" xfId="11" applyNumberFormat="1" applyFont="1" applyBorder="1" applyAlignment="1">
      <alignment horizontal="center" vertical="center" wrapText="1"/>
      <protection locked="0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176" fontId="13" fillId="0" borderId="1" xfId="38" applyNumberFormat="1" applyBorder="1" applyAlignment="1" applyProtection="1">
      <alignment horizontal="right" vertical="center" wrapText="1"/>
    </xf>
    <xf numFmtId="10" fontId="13" fillId="0" borderId="1" xfId="20" applyNumberFormat="1" applyFont="1" applyBorder="1" applyAlignment="1">
      <alignment horizontal="center" vertical="center" wrapText="1"/>
      <protection locked="0"/>
    </xf>
    <xf numFmtId="176" fontId="14" fillId="0" borderId="1" xfId="0" applyNumberFormat="1" applyFont="1" applyBorder="1" applyAlignment="1">
      <alignment horizontal="right" vertical="center" wrapText="1"/>
    </xf>
    <xf numFmtId="43" fontId="14" fillId="0" borderId="1" xfId="0" applyNumberFormat="1" applyFont="1" applyBorder="1" applyAlignment="1">
      <alignment horizontal="center" vertical="center" wrapText="1"/>
    </xf>
    <xf numFmtId="10" fontId="14" fillId="0" borderId="1" xfId="11" applyNumberFormat="1" applyFont="1" applyBorder="1" applyAlignment="1">
      <alignment horizontal="center" vertical="center" wrapText="1"/>
      <protection locked="0"/>
    </xf>
    <xf numFmtId="0" fontId="11" fillId="0" borderId="3" xfId="0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0" xfId="0" applyAlignment="1">
      <alignment horizontal="center" vertical="center" wrapText="1"/>
    </xf>
    <xf numFmtId="177" fontId="13" fillId="0" borderId="0" xfId="0" applyNumberFormat="1" applyFont="1" applyAlignment="1">
      <alignment horizontal="center" vertical="center"/>
    </xf>
    <xf numFmtId="10" fontId="11" fillId="0" borderId="0" xfId="11" applyNumberFormat="1" applyFont="1" applyAlignment="1" applyProtection="1">
      <alignment horizontal="center" vertical="center"/>
    </xf>
    <xf numFmtId="10" fontId="11" fillId="0" borderId="0" xfId="0" applyNumberForma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4" xfId="0" applyBorder="1" applyAlignment="1"/>
    <xf numFmtId="0" fontId="17" fillId="0" borderId="1" xfId="38" applyFont="1" applyBorder="1" applyAlignment="1" applyProtection="1">
      <alignment horizontal="center" vertical="center" wrapText="1"/>
    </xf>
    <xf numFmtId="0" fontId="18" fillId="0" borderId="4" xfId="0" applyFont="1" applyBorder="1" applyAlignment="1"/>
    <xf numFmtId="0" fontId="19" fillId="2" borderId="1" xfId="38" applyFont="1" applyFill="1" applyBorder="1" applyAlignment="1" applyProtection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9" fillId="0" borderId="1" xfId="38" applyFont="1" applyBorder="1" applyAlignment="1" applyProtection="1">
      <alignment horizontal="center" vertical="center" wrapText="1"/>
    </xf>
    <xf numFmtId="0" fontId="20" fillId="0" borderId="1" xfId="51" applyFont="1" applyBorder="1" applyAlignment="1" applyProtection="1">
      <alignment horizontal="center" vertical="center" wrapText="1"/>
    </xf>
    <xf numFmtId="0" fontId="21" fillId="0" borderId="1" xfId="38" applyFont="1" applyBorder="1" applyAlignment="1" applyProtection="1">
      <alignment horizontal="center" vertical="center" wrapText="1"/>
    </xf>
    <xf numFmtId="10" fontId="9" fillId="0" borderId="1" xfId="11" applyNumberFormat="1" applyFont="1" applyBorder="1" applyAlignment="1">
      <alignment horizontal="center" vertical="center" wrapText="1"/>
      <protection locked="0"/>
    </xf>
    <xf numFmtId="0" fontId="9" fillId="0" borderId="1" xfId="51" applyFont="1" applyBorder="1" applyAlignment="1" applyProtection="1">
      <alignment horizontal="center" vertical="center" wrapText="1"/>
    </xf>
    <xf numFmtId="0" fontId="2" fillId="0" borderId="4" xfId="0" applyFont="1" applyBorder="1" applyAlignment="1"/>
    <xf numFmtId="0" fontId="2" fillId="0" borderId="5" xfId="0" applyFont="1" applyBorder="1" applyAlignment="1"/>
    <xf numFmtId="0" fontId="8" fillId="0" borderId="2" xfId="38" applyFont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78" fontId="13" fillId="0" borderId="1" xfId="11" applyNumberFormat="1" applyFont="1" applyBorder="1" applyAlignment="1" applyProtection="1">
      <alignment horizontal="center" vertical="center"/>
    </xf>
    <xf numFmtId="178" fontId="13" fillId="0" borderId="1" xfId="0" applyNumberFormat="1" applyFont="1" applyBorder="1" applyAlignment="1">
      <alignment horizontal="center" vertical="center"/>
    </xf>
    <xf numFmtId="0" fontId="0" fillId="0" borderId="5" xfId="0" applyBorder="1" applyAlignment="1"/>
    <xf numFmtId="0" fontId="18" fillId="0" borderId="5" xfId="0" applyFont="1" applyBorder="1" applyAlignment="1"/>
    <xf numFmtId="177" fontId="8" fillId="0" borderId="1" xfId="38" applyNumberFormat="1" applyFont="1" applyBorder="1" applyAlignment="1" applyProtection="1">
      <alignment horizontal="center" vertical="center" wrapText="1"/>
    </xf>
    <xf numFmtId="176" fontId="9" fillId="0" borderId="1" xfId="0" applyNumberFormat="1" applyFont="1" applyBorder="1" applyAlignment="1">
      <alignment horizontal="right" vertical="center"/>
    </xf>
    <xf numFmtId="10" fontId="9" fillId="0" borderId="1" xfId="11" applyNumberFormat="1" applyFont="1" applyBorder="1" applyAlignment="1">
      <alignment horizontal="center" vertical="center"/>
      <protection locked="0"/>
    </xf>
    <xf numFmtId="176" fontId="20" fillId="0" borderId="1" xfId="0" applyNumberFormat="1" applyFont="1" applyBorder="1" applyAlignment="1">
      <alignment horizontal="right" vertical="center" wrapText="1"/>
    </xf>
    <xf numFmtId="10" fontId="9" fillId="0" borderId="1" xfId="20" applyNumberFormat="1" applyFont="1" applyBorder="1" applyAlignment="1">
      <alignment horizontal="center" vertical="center" wrapText="1"/>
      <protection locked="0"/>
    </xf>
    <xf numFmtId="10" fontId="20" fillId="0" borderId="1" xfId="11" applyNumberFormat="1" applyFont="1" applyBorder="1" applyAlignment="1">
      <alignment horizontal="center" vertical="center"/>
      <protection locked="0"/>
    </xf>
    <xf numFmtId="0" fontId="9" fillId="0" borderId="1" xfId="0" applyFont="1" applyBorder="1" applyAlignment="1">
      <alignment horizontal="center" vertical="center" wrapText="1"/>
    </xf>
    <xf numFmtId="176" fontId="9" fillId="0" borderId="1" xfId="38" applyNumberFormat="1" applyFont="1" applyBorder="1" applyAlignment="1" applyProtection="1">
      <alignment horizontal="right" vertical="center" wrapText="1"/>
    </xf>
    <xf numFmtId="43" fontId="21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0" fontId="13" fillId="0" borderId="1" xfId="11" applyNumberFormat="1" applyFont="1" applyBorder="1" applyAlignment="1" applyProtection="1">
      <alignment horizontal="center" vertical="center"/>
    </xf>
    <xf numFmtId="10" fontId="13" fillId="0" borderId="1" xfId="0" applyNumberFormat="1" applyFont="1" applyBorder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ill="1" applyAlignment="1">
      <alignment horizontal="center" vertical="center" wrapText="1"/>
    </xf>
    <xf numFmtId="176" fontId="13" fillId="0" borderId="0" xfId="0" applyNumberFormat="1" applyFont="1" applyAlignment="1">
      <alignment horizontal="right" vertical="center"/>
    </xf>
    <xf numFmtId="10" fontId="11" fillId="0" borderId="0" xfId="0" applyNumberFormat="1" applyFill="1" applyAlignment="1">
      <alignment horizontal="center" vertical="center"/>
    </xf>
    <xf numFmtId="0" fontId="11" fillId="0" borderId="0" xfId="0" applyFill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8" fillId="0" borderId="4" xfId="38" applyFont="1" applyBorder="1" applyAlignment="1" applyProtection="1">
      <alignment horizontal="center" vertical="center" wrapText="1"/>
    </xf>
    <xf numFmtId="0" fontId="8" fillId="0" borderId="2" xfId="38" applyFont="1" applyFill="1" applyBorder="1" applyAlignment="1" applyProtection="1">
      <alignment horizontal="center" vertical="center" wrapText="1"/>
    </xf>
    <xf numFmtId="0" fontId="12" fillId="3" borderId="7" xfId="38" applyFont="1" applyFill="1" applyBorder="1" applyAlignment="1" applyProtection="1">
      <alignment vertical="center" wrapText="1"/>
    </xf>
    <xf numFmtId="0" fontId="8" fillId="0" borderId="1" xfId="38" applyFont="1" applyFill="1" applyBorder="1" applyAlignment="1" applyProtection="1">
      <alignment horizontal="center" vertical="center" wrapText="1"/>
    </xf>
    <xf numFmtId="0" fontId="2" fillId="0" borderId="1" xfId="0" applyFont="1" applyBorder="1" applyAlignment="1"/>
    <xf numFmtId="0" fontId="14" fillId="4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2" fillId="3" borderId="1" xfId="38" applyFont="1" applyFill="1" applyBorder="1" applyAlignment="1" applyProtection="1">
      <alignment vertical="center" wrapText="1"/>
    </xf>
    <xf numFmtId="0" fontId="15" fillId="3" borderId="7" xfId="38" applyFont="1" applyFill="1" applyBorder="1" applyAlignment="1" applyProtection="1">
      <alignment vertical="center" wrapText="1"/>
    </xf>
    <xf numFmtId="0" fontId="14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0" borderId="1" xfId="51" applyFont="1" applyBorder="1" applyAlignment="1" applyProtection="1">
      <alignment horizontal="center" vertical="center" wrapText="1"/>
    </xf>
    <xf numFmtId="0" fontId="2" fillId="0" borderId="1" xfId="0" applyFont="1" applyFill="1" applyBorder="1" applyAlignment="1"/>
    <xf numFmtId="178" fontId="9" fillId="0" borderId="1" xfId="11" applyNumberFormat="1" applyFont="1" applyBorder="1" applyAlignment="1" applyProtection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0" borderId="0" xfId="0" applyFont="1" applyFill="1" applyAlignment="1">
      <alignment horizontal="center" vertical="center"/>
    </xf>
    <xf numFmtId="0" fontId="8" fillId="0" borderId="4" xfId="38" applyFont="1" applyBorder="1" applyAlignment="1" applyProtection="1">
      <alignment horizontal="right" vertical="center" wrapText="1"/>
    </xf>
    <xf numFmtId="0" fontId="8" fillId="0" borderId="4" xfId="38" applyFont="1" applyFill="1" applyBorder="1" applyAlignment="1" applyProtection="1">
      <alignment horizontal="center" vertical="center" wrapText="1"/>
    </xf>
    <xf numFmtId="176" fontId="8" fillId="0" borderId="2" xfId="38" applyNumberFormat="1" applyFont="1" applyBorder="1" applyAlignment="1" applyProtection="1">
      <alignment horizontal="right" vertical="center" wrapText="1"/>
    </xf>
    <xf numFmtId="10" fontId="8" fillId="0" borderId="2" xfId="11" applyNumberFormat="1" applyFont="1" applyBorder="1" applyAlignment="1">
      <alignment horizontal="center" vertical="center" wrapText="1"/>
      <protection locked="0"/>
    </xf>
    <xf numFmtId="10" fontId="8" fillId="0" borderId="2" xfId="20" applyNumberFormat="1" applyFont="1" applyFill="1" applyBorder="1" applyAlignment="1">
      <alignment horizontal="center" vertical="center" wrapText="1"/>
      <protection locked="0"/>
    </xf>
    <xf numFmtId="10" fontId="13" fillId="0" borderId="1" xfId="11" applyNumberFormat="1" applyFont="1" applyBorder="1" applyAlignment="1">
      <alignment horizontal="center" vertical="center"/>
      <protection locked="0"/>
    </xf>
    <xf numFmtId="0" fontId="13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3" fillId="0" borderId="1" xfId="38" applyFont="1" applyFill="1" applyBorder="1" applyAlignment="1" applyProtection="1">
      <alignment horizontal="center" vertical="center" wrapText="1"/>
    </xf>
    <xf numFmtId="176" fontId="8" fillId="0" borderId="1" xfId="0" applyNumberFormat="1" applyFont="1" applyBorder="1" applyAlignment="1">
      <alignment horizontal="right" vertical="center"/>
    </xf>
    <xf numFmtId="10" fontId="12" fillId="0" borderId="1" xfId="11" applyNumberFormat="1" applyFont="1" applyBorder="1" applyAlignment="1">
      <alignment horizontal="center" vertical="center" wrapText="1"/>
      <protection locked="0"/>
    </xf>
    <xf numFmtId="10" fontId="12" fillId="0" borderId="1" xfId="20" applyNumberFormat="1" applyFont="1" applyFill="1" applyBorder="1" applyAlignment="1">
      <alignment horizontal="center" vertical="center" wrapText="1"/>
      <protection locked="0"/>
    </xf>
    <xf numFmtId="0" fontId="12" fillId="0" borderId="1" xfId="38" applyFont="1" applyFill="1" applyBorder="1" applyAlignment="1" applyProtection="1">
      <alignment horizontal="center" vertical="center" wrapText="1"/>
    </xf>
    <xf numFmtId="10" fontId="14" fillId="0" borderId="8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10" fontId="13" fillId="0" borderId="1" xfId="20" applyNumberFormat="1" applyFont="1" applyFill="1" applyBorder="1" applyAlignment="1">
      <alignment horizontal="center" vertical="center" wrapText="1"/>
      <protection locked="0"/>
    </xf>
    <xf numFmtId="176" fontId="8" fillId="0" borderId="1" xfId="8" applyNumberFormat="1" applyFont="1" applyBorder="1" applyAlignment="1" applyProtection="1">
      <alignment horizontal="right" vertical="center" wrapText="1"/>
    </xf>
    <xf numFmtId="176" fontId="12" fillId="0" borderId="1" xfId="8" applyNumberFormat="1" applyFont="1" applyBorder="1" applyAlignment="1" applyProtection="1">
      <alignment horizontal="right" vertical="center" wrapText="1"/>
    </xf>
    <xf numFmtId="176" fontId="13" fillId="0" borderId="1" xfId="38" applyNumberFormat="1" applyFont="1" applyBorder="1" applyAlignment="1" applyProtection="1">
      <alignment horizontal="right" vertical="center" wrapText="1"/>
    </xf>
    <xf numFmtId="10" fontId="13" fillId="0" borderId="1" xfId="11" applyNumberFormat="1" applyFont="1" applyFill="1" applyBorder="1" applyAlignment="1">
      <alignment horizontal="center" vertical="center" wrapText="1"/>
      <protection locked="0"/>
    </xf>
    <xf numFmtId="43" fontId="12" fillId="0" borderId="1" xfId="8" applyFont="1" applyBorder="1" applyAlignment="1" applyProtection="1">
      <alignment horizontal="center" vertical="center" wrapText="1"/>
    </xf>
    <xf numFmtId="10" fontId="13" fillId="0" borderId="1" xfId="11" applyNumberFormat="1" applyFont="1" applyFill="1" applyBorder="1" applyAlignment="1" applyProtection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百分比 2 3" xfId="20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常规 2 2 3" xfId="38"/>
    <cellStyle name="20% - 强调文字颜色 2" xfId="39" builtinId="34"/>
    <cellStyle name="40% - 强调文字颜色 2" xfId="40" builtinId="35"/>
    <cellStyle name="强调文字颜色 3" xfId="41" builtinId="37"/>
    <cellStyle name="强调文字颜色 4" xfId="42" builtinId="41"/>
    <cellStyle name="20% - 强调文字颜色 4" xfId="43" builtinId="42"/>
    <cellStyle name="40% - 强调文字颜色 4" xfId="44" builtinId="43"/>
    <cellStyle name="强调文字颜色 5" xfId="45" builtin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Q33"/>
  <sheetViews>
    <sheetView tabSelected="1" zoomScale="55" zoomScaleNormal="55" topLeftCell="A6" workbookViewId="0">
      <selection activeCell="C28" sqref="C28"/>
    </sheetView>
  </sheetViews>
  <sheetFormatPr defaultColWidth="9" defaultRowHeight="15.6"/>
  <cols>
    <col min="1" max="1" width="7.24074074074074" style="29" customWidth="1"/>
    <col min="2" max="2" width="11.3703703703704" style="92" customWidth="1"/>
    <col min="3" max="3" width="49.0555555555556" style="53" customWidth="1"/>
    <col min="4" max="4" width="16.6111111111111" style="53" customWidth="1"/>
    <col min="5" max="5" width="13.5833333333333" style="53" customWidth="1"/>
    <col min="6" max="7" width="33.6666666666667" style="53" customWidth="1"/>
    <col min="8" max="8" width="32.2407407407407" style="53" customWidth="1"/>
    <col min="9" max="9" width="19.5277777777778" style="93" customWidth="1"/>
    <col min="10" max="10" width="19.4722222222222" style="29" customWidth="1"/>
    <col min="11" max="11" width="20.6296296296296" style="55" customWidth="1"/>
    <col min="12" max="12" width="9.86111111111111" style="94" customWidth="1"/>
    <col min="13" max="13" width="15.1388888888889" style="29" customWidth="1"/>
    <col min="14" max="14" width="68.8981481481482" style="92" customWidth="1"/>
    <col min="15" max="15" width="10.1944444444444" style="95" customWidth="1"/>
    <col min="16" max="16" width="43.8796296296296" style="95" customWidth="1"/>
    <col min="17" max="24" width="9" style="29" customWidth="1"/>
    <col min="25" max="25" width="14" style="29" customWidth="1"/>
    <col min="26" max="16383" width="9" style="29" customWidth="1"/>
    <col min="16384" max="16384" width="9" style="29"/>
  </cols>
  <sheetData>
    <row r="1" ht="48" customHeight="1" spans="1:17">
      <c r="A1" s="96" t="s">
        <v>0</v>
      </c>
      <c r="B1" s="97"/>
      <c r="C1" s="97"/>
      <c r="D1" s="97"/>
      <c r="E1" s="97"/>
      <c r="F1" s="97"/>
      <c r="G1" s="97"/>
      <c r="H1" s="97"/>
      <c r="I1" s="113"/>
      <c r="J1" s="97"/>
      <c r="K1" s="97"/>
      <c r="L1" s="97"/>
      <c r="M1" s="97"/>
      <c r="N1" s="114"/>
      <c r="O1" s="114"/>
      <c r="P1" s="114"/>
      <c r="Q1" s="97"/>
    </row>
    <row r="2" s="51" customFormat="1" ht="30" customHeight="1" spans="1:17">
      <c r="A2" s="98" t="s">
        <v>1</v>
      </c>
      <c r="B2" s="98"/>
      <c r="C2" s="98"/>
      <c r="D2" s="98"/>
      <c r="E2" s="98"/>
      <c r="F2" s="98"/>
      <c r="G2" s="98"/>
      <c r="H2" s="98"/>
      <c r="I2" s="115"/>
      <c r="J2" s="98"/>
      <c r="K2" s="98"/>
      <c r="L2" s="98"/>
      <c r="M2" s="98"/>
      <c r="N2" s="116"/>
      <c r="O2" s="116"/>
      <c r="P2" s="116"/>
      <c r="Q2" s="98"/>
    </row>
    <row r="3" s="51" customFormat="1" ht="48" customHeight="1" spans="1:17">
      <c r="A3" s="71" t="s">
        <v>2</v>
      </c>
      <c r="B3" s="99" t="s">
        <v>3</v>
      </c>
      <c r="C3" s="71" t="s">
        <v>4</v>
      </c>
      <c r="D3" s="71" t="s">
        <v>5</v>
      </c>
      <c r="E3" s="71" t="s">
        <v>6</v>
      </c>
      <c r="F3" s="71" t="s">
        <v>7</v>
      </c>
      <c r="G3" s="71" t="s">
        <v>8</v>
      </c>
      <c r="H3" s="71" t="s">
        <v>9</v>
      </c>
      <c r="I3" s="117" t="s">
        <v>10</v>
      </c>
      <c r="J3" s="71" t="s">
        <v>11</v>
      </c>
      <c r="K3" s="118" t="s">
        <v>12</v>
      </c>
      <c r="L3" s="119" t="s">
        <v>13</v>
      </c>
      <c r="M3" s="71" t="s">
        <v>14</v>
      </c>
      <c r="N3" s="99" t="s">
        <v>15</v>
      </c>
      <c r="O3" s="99" t="s">
        <v>16</v>
      </c>
      <c r="P3" s="99" t="s">
        <v>17</v>
      </c>
      <c r="Q3" s="71" t="s">
        <v>18</v>
      </c>
    </row>
    <row r="4" s="90" customFormat="1" ht="48" customHeight="1" spans="1:17">
      <c r="A4" s="32">
        <v>1</v>
      </c>
      <c r="B4" s="100" t="s">
        <v>19</v>
      </c>
      <c r="C4" s="44"/>
      <c r="D4" s="86"/>
      <c r="E4" s="44"/>
      <c r="F4" s="44"/>
      <c r="G4" s="44"/>
      <c r="H4" s="43"/>
      <c r="I4" s="41"/>
      <c r="J4" s="86"/>
      <c r="K4" s="120"/>
      <c r="L4" s="121"/>
      <c r="M4" s="44"/>
      <c r="N4" s="122"/>
      <c r="O4" s="123"/>
      <c r="P4" s="124"/>
      <c r="Q4" s="139"/>
    </row>
    <row r="5" s="52" customFormat="1" ht="48" customHeight="1" spans="1:17">
      <c r="A5" s="37"/>
      <c r="B5" s="101" t="s">
        <v>20</v>
      </c>
      <c r="C5" s="102"/>
      <c r="D5" s="31"/>
      <c r="E5" s="31"/>
      <c r="F5" s="31"/>
      <c r="G5" s="31"/>
      <c r="H5" s="31"/>
      <c r="I5" s="125">
        <f>SUM(I4:I4)</f>
        <v>0</v>
      </c>
      <c r="J5" s="32"/>
      <c r="K5" s="126"/>
      <c r="L5" s="127"/>
      <c r="M5" s="32"/>
      <c r="N5" s="124"/>
      <c r="O5" s="128"/>
      <c r="P5" s="124"/>
      <c r="Q5" s="140"/>
    </row>
    <row r="6" s="52" customFormat="1" ht="48" customHeight="1" spans="1:17">
      <c r="A6" s="32">
        <v>1</v>
      </c>
      <c r="B6" s="100" t="s">
        <v>21</v>
      </c>
      <c r="C6" s="103" t="s">
        <v>22</v>
      </c>
      <c r="D6" s="104" t="s">
        <v>23</v>
      </c>
      <c r="E6" s="104" t="s">
        <v>24</v>
      </c>
      <c r="F6" s="104" t="s">
        <v>25</v>
      </c>
      <c r="G6" s="104" t="s">
        <v>26</v>
      </c>
      <c r="H6" s="104" t="s">
        <v>27</v>
      </c>
      <c r="I6" s="41">
        <v>900</v>
      </c>
      <c r="J6" s="104">
        <v>9</v>
      </c>
      <c r="K6" s="129">
        <v>0.035</v>
      </c>
      <c r="L6" s="129" t="s">
        <v>28</v>
      </c>
      <c r="M6" s="104" t="s">
        <v>29</v>
      </c>
      <c r="N6" s="104" t="s">
        <v>30</v>
      </c>
      <c r="O6" s="104" t="s">
        <v>31</v>
      </c>
      <c r="P6" s="104"/>
      <c r="Q6" s="140"/>
    </row>
    <row r="7" s="52" customFormat="1" ht="48" customHeight="1" spans="1:17">
      <c r="A7" s="32">
        <v>2</v>
      </c>
      <c r="B7" s="100" t="s">
        <v>21</v>
      </c>
      <c r="C7" s="104" t="s">
        <v>32</v>
      </c>
      <c r="D7" s="104" t="s">
        <v>33</v>
      </c>
      <c r="E7" s="104" t="s">
        <v>34</v>
      </c>
      <c r="F7" s="104" t="s">
        <v>35</v>
      </c>
      <c r="G7" s="104" t="s">
        <v>26</v>
      </c>
      <c r="H7" s="104" t="s">
        <v>36</v>
      </c>
      <c r="I7" s="41">
        <v>6200</v>
      </c>
      <c r="J7" s="104">
        <v>36</v>
      </c>
      <c r="K7" s="129">
        <v>0.078</v>
      </c>
      <c r="L7" s="129" t="s">
        <v>37</v>
      </c>
      <c r="M7" s="104" t="s">
        <v>38</v>
      </c>
      <c r="N7" s="104" t="s">
        <v>39</v>
      </c>
      <c r="O7" s="104" t="s">
        <v>31</v>
      </c>
      <c r="P7" s="104"/>
      <c r="Q7" s="140"/>
    </row>
    <row r="8" s="52" customFormat="1" ht="48" customHeight="1" spans="1:17">
      <c r="A8" s="32">
        <v>3</v>
      </c>
      <c r="B8" s="100" t="s">
        <v>21</v>
      </c>
      <c r="C8" s="104" t="s">
        <v>40</v>
      </c>
      <c r="D8" s="104" t="s">
        <v>33</v>
      </c>
      <c r="E8" s="104" t="s">
        <v>34</v>
      </c>
      <c r="F8" s="104" t="s">
        <v>35</v>
      </c>
      <c r="G8" s="104" t="s">
        <v>26</v>
      </c>
      <c r="H8" s="104" t="s">
        <v>41</v>
      </c>
      <c r="I8" s="41">
        <v>6300</v>
      </c>
      <c r="J8" s="104">
        <v>60</v>
      </c>
      <c r="K8" s="129">
        <v>0.078</v>
      </c>
      <c r="L8" s="129" t="s">
        <v>37</v>
      </c>
      <c r="M8" s="104" t="s">
        <v>38</v>
      </c>
      <c r="N8" s="104" t="s">
        <v>39</v>
      </c>
      <c r="O8" s="104" t="s">
        <v>42</v>
      </c>
      <c r="P8" s="104"/>
      <c r="Q8" s="124"/>
    </row>
    <row r="9" s="52" customFormat="1" ht="48" customHeight="1" spans="1:17">
      <c r="A9" s="32">
        <v>4</v>
      </c>
      <c r="B9" s="100" t="s">
        <v>21</v>
      </c>
      <c r="C9" s="104" t="s">
        <v>43</v>
      </c>
      <c r="D9" s="104" t="s">
        <v>33</v>
      </c>
      <c r="E9" s="104" t="s">
        <v>34</v>
      </c>
      <c r="F9" s="104" t="s">
        <v>35</v>
      </c>
      <c r="G9" s="104" t="s">
        <v>26</v>
      </c>
      <c r="H9" s="104" t="s">
        <v>44</v>
      </c>
      <c r="I9" s="41">
        <v>9200</v>
      </c>
      <c r="J9" s="104">
        <v>36</v>
      </c>
      <c r="K9" s="129">
        <v>0.073</v>
      </c>
      <c r="L9" s="129" t="s">
        <v>37</v>
      </c>
      <c r="M9" s="104" t="s">
        <v>29</v>
      </c>
      <c r="N9" s="104" t="s">
        <v>45</v>
      </c>
      <c r="O9" s="104" t="s">
        <v>46</v>
      </c>
      <c r="P9" s="104" t="s">
        <v>47</v>
      </c>
      <c r="Q9" s="140"/>
    </row>
    <row r="10" s="52" customFormat="1" ht="48" customHeight="1" spans="1:17">
      <c r="A10" s="32">
        <v>5</v>
      </c>
      <c r="B10" s="100" t="s">
        <v>21</v>
      </c>
      <c r="C10" s="103" t="s">
        <v>48</v>
      </c>
      <c r="D10" s="104" t="s">
        <v>49</v>
      </c>
      <c r="E10" s="104" t="s">
        <v>34</v>
      </c>
      <c r="F10" s="104" t="s">
        <v>50</v>
      </c>
      <c r="G10" s="104" t="s">
        <v>26</v>
      </c>
      <c r="H10" s="104" t="s">
        <v>51</v>
      </c>
      <c r="I10" s="41">
        <v>15000</v>
      </c>
      <c r="J10" s="104">
        <v>60</v>
      </c>
      <c r="K10" s="129">
        <v>0.06</v>
      </c>
      <c r="L10" s="129" t="s">
        <v>52</v>
      </c>
      <c r="M10" s="104" t="s">
        <v>53</v>
      </c>
      <c r="N10" s="104" t="s">
        <v>54</v>
      </c>
      <c r="O10" s="104" t="s">
        <v>55</v>
      </c>
      <c r="P10" s="32"/>
      <c r="Q10" s="140"/>
    </row>
    <row r="11" s="52" customFormat="1" ht="48" customHeight="1" spans="1:17">
      <c r="A11" s="32">
        <v>6</v>
      </c>
      <c r="B11" s="100" t="s">
        <v>21</v>
      </c>
      <c r="C11" s="104" t="s">
        <v>56</v>
      </c>
      <c r="D11" s="104" t="s">
        <v>33</v>
      </c>
      <c r="E11" s="104" t="s">
        <v>34</v>
      </c>
      <c r="F11" s="104" t="s">
        <v>50</v>
      </c>
      <c r="G11" s="104" t="s">
        <v>26</v>
      </c>
      <c r="H11" s="104" t="s">
        <v>57</v>
      </c>
      <c r="I11" s="41">
        <v>9800</v>
      </c>
      <c r="J11" s="104">
        <v>60</v>
      </c>
      <c r="K11" s="129">
        <v>0.072</v>
      </c>
      <c r="L11" s="129" t="s">
        <v>58</v>
      </c>
      <c r="M11" s="104" t="s">
        <v>59</v>
      </c>
      <c r="N11" s="104" t="s">
        <v>60</v>
      </c>
      <c r="O11" s="104" t="s">
        <v>61</v>
      </c>
      <c r="P11" s="32"/>
      <c r="Q11" s="140"/>
    </row>
    <row r="12" s="52" customFormat="1" ht="48" customHeight="1" spans="1:17">
      <c r="A12" s="32">
        <v>7</v>
      </c>
      <c r="B12" s="100" t="s">
        <v>21</v>
      </c>
      <c r="C12" s="104" t="s">
        <v>62</v>
      </c>
      <c r="D12" s="104" t="s">
        <v>33</v>
      </c>
      <c r="E12" s="104" t="s">
        <v>34</v>
      </c>
      <c r="F12" s="104" t="s">
        <v>63</v>
      </c>
      <c r="G12" s="104" t="s">
        <v>26</v>
      </c>
      <c r="H12" s="104" t="s">
        <v>64</v>
      </c>
      <c r="I12" s="41">
        <v>9800</v>
      </c>
      <c r="J12" s="104">
        <v>60</v>
      </c>
      <c r="K12" s="129">
        <v>0.073</v>
      </c>
      <c r="L12" s="129" t="s">
        <v>65</v>
      </c>
      <c r="M12" s="130" t="s">
        <v>59</v>
      </c>
      <c r="N12" s="104" t="s">
        <v>45</v>
      </c>
      <c r="O12" s="104" t="s">
        <v>61</v>
      </c>
      <c r="P12" s="104" t="s">
        <v>47</v>
      </c>
      <c r="Q12" s="140"/>
    </row>
    <row r="13" s="52" customFormat="1" ht="48" customHeight="1" spans="1:17">
      <c r="A13" s="32">
        <v>8</v>
      </c>
      <c r="B13" s="100" t="s">
        <v>21</v>
      </c>
      <c r="C13" s="43" t="s">
        <v>66</v>
      </c>
      <c r="D13" s="104" t="s">
        <v>33</v>
      </c>
      <c r="E13" s="104" t="s">
        <v>34</v>
      </c>
      <c r="F13" s="104" t="s">
        <v>63</v>
      </c>
      <c r="G13" s="104" t="s">
        <v>26</v>
      </c>
      <c r="H13" s="43" t="s">
        <v>67</v>
      </c>
      <c r="I13" s="41">
        <v>9900</v>
      </c>
      <c r="J13" s="104">
        <v>60</v>
      </c>
      <c r="K13" s="129">
        <v>0.073</v>
      </c>
      <c r="L13" s="129" t="s">
        <v>65</v>
      </c>
      <c r="M13" s="130" t="s">
        <v>59</v>
      </c>
      <c r="N13" s="104" t="s">
        <v>45</v>
      </c>
      <c r="O13" s="104" t="s">
        <v>61</v>
      </c>
      <c r="P13" s="104"/>
      <c r="Q13" s="140"/>
    </row>
    <row r="14" s="52" customFormat="1" ht="48" customHeight="1" spans="1:17">
      <c r="A14" s="37"/>
      <c r="B14" s="101" t="s">
        <v>20</v>
      </c>
      <c r="C14" s="102"/>
      <c r="D14" s="31"/>
      <c r="E14" s="31"/>
      <c r="F14" s="31"/>
      <c r="G14" s="31"/>
      <c r="H14" s="31"/>
      <c r="I14" s="125">
        <f>SUM(I6:I13)</f>
        <v>67100</v>
      </c>
      <c r="J14" s="32"/>
      <c r="K14" s="126"/>
      <c r="L14" s="127"/>
      <c r="M14" s="32"/>
      <c r="N14" s="124"/>
      <c r="O14" s="128"/>
      <c r="P14" s="124"/>
      <c r="Q14" s="140"/>
    </row>
    <row r="15" s="52" customFormat="1" ht="48" customHeight="1" spans="1:17">
      <c r="A15" s="32">
        <v>1</v>
      </c>
      <c r="B15" s="100" t="s">
        <v>68</v>
      </c>
      <c r="C15" s="37"/>
      <c r="D15" s="34"/>
      <c r="E15" s="34"/>
      <c r="F15" s="34"/>
      <c r="G15" s="34"/>
      <c r="H15" s="34"/>
      <c r="I15" s="47"/>
      <c r="J15" s="37"/>
      <c r="K15" s="42"/>
      <c r="L15" s="131"/>
      <c r="M15" s="37"/>
      <c r="N15" s="124"/>
      <c r="O15" s="124"/>
      <c r="P15" s="124"/>
      <c r="Q15" s="140"/>
    </row>
    <row r="16" s="52" customFormat="1" ht="48" customHeight="1" spans="1:17">
      <c r="A16" s="37"/>
      <c r="B16" s="101" t="s">
        <v>20</v>
      </c>
      <c r="C16" s="102"/>
      <c r="D16" s="32"/>
      <c r="E16" s="32"/>
      <c r="F16" s="32"/>
      <c r="G16" s="32"/>
      <c r="H16" s="32"/>
      <c r="I16" s="132">
        <f>SUM(I15:I15)</f>
        <v>0</v>
      </c>
      <c r="J16" s="32"/>
      <c r="K16" s="126"/>
      <c r="L16" s="127"/>
      <c r="M16" s="32"/>
      <c r="N16" s="124"/>
      <c r="O16" s="128"/>
      <c r="P16" s="124"/>
      <c r="Q16" s="140"/>
    </row>
    <row r="17" s="52" customFormat="1" ht="48" customHeight="1" spans="1:17">
      <c r="A17" s="32">
        <v>1</v>
      </c>
      <c r="B17" s="100" t="s">
        <v>69</v>
      </c>
      <c r="C17" s="43"/>
      <c r="D17" s="86"/>
      <c r="E17" s="44"/>
      <c r="F17" s="44"/>
      <c r="G17" s="44"/>
      <c r="H17" s="43"/>
      <c r="I17" s="41"/>
      <c r="J17" s="86"/>
      <c r="K17" s="120"/>
      <c r="L17" s="121"/>
      <c r="M17" s="44"/>
      <c r="N17" s="122"/>
      <c r="O17" s="123"/>
      <c r="P17" s="124"/>
      <c r="Q17" s="140"/>
    </row>
    <row r="18" s="52" customFormat="1" ht="48" customHeight="1" spans="1:17">
      <c r="A18" s="37"/>
      <c r="B18" s="101" t="s">
        <v>20</v>
      </c>
      <c r="C18" s="102"/>
      <c r="D18" s="32"/>
      <c r="E18" s="32"/>
      <c r="F18" s="32"/>
      <c r="G18" s="32"/>
      <c r="H18" s="32"/>
      <c r="I18" s="132">
        <f>SUM(I17:I17)</f>
        <v>0</v>
      </c>
      <c r="J18" s="32"/>
      <c r="K18" s="126"/>
      <c r="L18" s="127"/>
      <c r="M18" s="32"/>
      <c r="N18" s="124"/>
      <c r="O18" s="128"/>
      <c r="P18" s="124"/>
      <c r="Q18" s="140"/>
    </row>
    <row r="19" s="52" customFormat="1" ht="48" customHeight="1" spans="1:17">
      <c r="A19" s="32">
        <v>1</v>
      </c>
      <c r="B19" s="105" t="s">
        <v>70</v>
      </c>
      <c r="C19" s="37"/>
      <c r="D19" s="34"/>
      <c r="E19" s="34"/>
      <c r="F19" s="34"/>
      <c r="G19" s="34"/>
      <c r="H19" s="34"/>
      <c r="I19" s="47"/>
      <c r="J19" s="37"/>
      <c r="K19" s="42"/>
      <c r="L19" s="131"/>
      <c r="M19" s="37"/>
      <c r="N19" s="124"/>
      <c r="O19" s="124"/>
      <c r="P19" s="124"/>
      <c r="Q19" s="140"/>
    </row>
    <row r="20" s="52" customFormat="1" ht="48" customHeight="1" spans="1:17">
      <c r="A20" s="37"/>
      <c r="B20" s="101" t="s">
        <v>20</v>
      </c>
      <c r="C20" s="102"/>
      <c r="D20" s="32"/>
      <c r="E20" s="32"/>
      <c r="F20" s="32"/>
      <c r="G20" s="32"/>
      <c r="H20" s="32"/>
      <c r="I20" s="132">
        <f>SUM(I19:I19)</f>
        <v>0</v>
      </c>
      <c r="J20" s="32"/>
      <c r="K20" s="126"/>
      <c r="L20" s="127"/>
      <c r="M20" s="32"/>
      <c r="N20" s="124"/>
      <c r="O20" s="128"/>
      <c r="P20" s="124"/>
      <c r="Q20" s="140"/>
    </row>
    <row r="21" s="52" customFormat="1" ht="48" customHeight="1" spans="1:17">
      <c r="A21" s="32">
        <v>1</v>
      </c>
      <c r="B21" s="106" t="s">
        <v>71</v>
      </c>
      <c r="C21" s="44" t="s">
        <v>72</v>
      </c>
      <c r="D21" s="86" t="s">
        <v>33</v>
      </c>
      <c r="E21" s="44" t="s">
        <v>34</v>
      </c>
      <c r="F21" s="44" t="s">
        <v>73</v>
      </c>
      <c r="G21" s="44" t="s">
        <v>26</v>
      </c>
      <c r="H21" s="43" t="s">
        <v>74</v>
      </c>
      <c r="I21" s="41">
        <v>9850</v>
      </c>
      <c r="J21" s="86">
        <v>48</v>
      </c>
      <c r="K21" s="120">
        <v>0.0798</v>
      </c>
      <c r="L21" s="86" t="s">
        <v>65</v>
      </c>
      <c r="M21" s="44" t="s">
        <v>75</v>
      </c>
      <c r="N21" s="43" t="s">
        <v>76</v>
      </c>
      <c r="O21" s="44" t="s">
        <v>77</v>
      </c>
      <c r="P21" s="124"/>
      <c r="Q21" s="140"/>
    </row>
    <row r="22" s="52" customFormat="1" ht="48" customHeight="1" spans="1:17">
      <c r="A22" s="32">
        <v>2</v>
      </c>
      <c r="B22" s="106" t="s">
        <v>71</v>
      </c>
      <c r="C22" s="107" t="s">
        <v>78</v>
      </c>
      <c r="D22" s="86" t="s">
        <v>23</v>
      </c>
      <c r="E22" s="44" t="s">
        <v>24</v>
      </c>
      <c r="F22" s="44" t="s">
        <v>79</v>
      </c>
      <c r="G22" s="44" t="s">
        <v>26</v>
      </c>
      <c r="H22" s="43" t="s">
        <v>80</v>
      </c>
      <c r="I22" s="41">
        <v>30000</v>
      </c>
      <c r="J22" s="86" t="s">
        <v>81</v>
      </c>
      <c r="K22" s="120" t="s">
        <v>82</v>
      </c>
      <c r="L22" s="86" t="s">
        <v>83</v>
      </c>
      <c r="M22" s="44" t="s">
        <v>84</v>
      </c>
      <c r="N22" s="43" t="s">
        <v>85</v>
      </c>
      <c r="O22" s="44" t="s">
        <v>86</v>
      </c>
      <c r="P22" s="124"/>
      <c r="Q22" s="140"/>
    </row>
    <row r="23" s="52" customFormat="1" ht="48" customHeight="1" spans="1:17">
      <c r="A23" s="37"/>
      <c r="B23" s="101" t="s">
        <v>20</v>
      </c>
      <c r="C23" s="102"/>
      <c r="D23" s="32"/>
      <c r="E23" s="32"/>
      <c r="F23" s="32"/>
      <c r="G23" s="32"/>
      <c r="H23" s="32"/>
      <c r="I23" s="133">
        <f>SUM(I21:I22)</f>
        <v>39850</v>
      </c>
      <c r="J23" s="32"/>
      <c r="K23" s="126"/>
      <c r="L23" s="127"/>
      <c r="M23" s="32"/>
      <c r="N23" s="124"/>
      <c r="O23" s="128"/>
      <c r="P23" s="124"/>
      <c r="Q23" s="140"/>
    </row>
    <row r="24" s="52" customFormat="1" ht="48" customHeight="1" spans="1:17">
      <c r="A24" s="32">
        <v>1</v>
      </c>
      <c r="B24" s="100" t="s">
        <v>87</v>
      </c>
      <c r="C24" s="108" t="s">
        <v>88</v>
      </c>
      <c r="D24" s="86" t="s">
        <v>49</v>
      </c>
      <c r="E24" s="86" t="s">
        <v>24</v>
      </c>
      <c r="F24" s="86" t="s">
        <v>73</v>
      </c>
      <c r="G24" s="86" t="s">
        <v>26</v>
      </c>
      <c r="H24" s="72" t="s">
        <v>89</v>
      </c>
      <c r="I24" s="41">
        <v>45000</v>
      </c>
      <c r="J24" s="86">
        <v>60</v>
      </c>
      <c r="K24" s="120">
        <v>0.06</v>
      </c>
      <c r="L24" s="86" t="s">
        <v>90</v>
      </c>
      <c r="M24" s="86" t="s">
        <v>91</v>
      </c>
      <c r="N24" s="72" t="s">
        <v>92</v>
      </c>
      <c r="O24" s="86" t="s">
        <v>93</v>
      </c>
      <c r="P24" s="124"/>
      <c r="Q24" s="140"/>
    </row>
    <row r="25" s="52" customFormat="1" ht="48" customHeight="1" spans="1:17">
      <c r="A25" s="32">
        <v>2</v>
      </c>
      <c r="B25" s="100" t="s">
        <v>87</v>
      </c>
      <c r="C25" s="72" t="s">
        <v>94</v>
      </c>
      <c r="D25" s="86" t="s">
        <v>33</v>
      </c>
      <c r="E25" s="86" t="s">
        <v>24</v>
      </c>
      <c r="F25" s="86" t="s">
        <v>73</v>
      </c>
      <c r="G25" s="86" t="s">
        <v>26</v>
      </c>
      <c r="H25" s="72" t="s">
        <v>95</v>
      </c>
      <c r="I25" s="41">
        <v>6000</v>
      </c>
      <c r="J25" s="86">
        <v>48</v>
      </c>
      <c r="K25" s="120">
        <v>0.078</v>
      </c>
      <c r="L25" s="86" t="s">
        <v>37</v>
      </c>
      <c r="M25" s="86" t="s">
        <v>96</v>
      </c>
      <c r="N25" s="72" t="s">
        <v>97</v>
      </c>
      <c r="O25" s="37" t="s">
        <v>98</v>
      </c>
      <c r="P25" s="124"/>
      <c r="Q25" s="140"/>
    </row>
    <row r="26" s="52" customFormat="1" ht="48" customHeight="1" spans="1:17">
      <c r="A26" s="32">
        <v>3</v>
      </c>
      <c r="B26" s="100" t="s">
        <v>87</v>
      </c>
      <c r="C26" s="108" t="s">
        <v>99</v>
      </c>
      <c r="D26" s="86" t="s">
        <v>100</v>
      </c>
      <c r="E26" s="86" t="s">
        <v>24</v>
      </c>
      <c r="F26" s="86" t="s">
        <v>101</v>
      </c>
      <c r="G26" s="86" t="s">
        <v>26</v>
      </c>
      <c r="H26" s="72" t="s">
        <v>102</v>
      </c>
      <c r="I26" s="41" t="s">
        <v>103</v>
      </c>
      <c r="J26" s="86" t="s">
        <v>104</v>
      </c>
      <c r="K26" s="120" t="s">
        <v>105</v>
      </c>
      <c r="L26" s="86" t="s">
        <v>37</v>
      </c>
      <c r="M26" s="86" t="s">
        <v>106</v>
      </c>
      <c r="N26" s="72" t="s">
        <v>107</v>
      </c>
      <c r="O26" s="37" t="s">
        <v>108</v>
      </c>
      <c r="P26" s="124"/>
      <c r="Q26" s="140"/>
    </row>
    <row r="27" s="52" customFormat="1" ht="48" customHeight="1" spans="1:17">
      <c r="A27" s="32">
        <v>4</v>
      </c>
      <c r="B27" s="100" t="s">
        <v>87</v>
      </c>
      <c r="C27" s="72" t="s">
        <v>109</v>
      </c>
      <c r="D27" s="86" t="s">
        <v>33</v>
      </c>
      <c r="E27" s="86" t="s">
        <v>24</v>
      </c>
      <c r="F27" s="86" t="s">
        <v>110</v>
      </c>
      <c r="G27" s="86" t="s">
        <v>26</v>
      </c>
      <c r="H27" s="72" t="s">
        <v>111</v>
      </c>
      <c r="I27" s="41">
        <v>10000</v>
      </c>
      <c r="J27" s="86">
        <v>39</v>
      </c>
      <c r="K27" s="42">
        <v>0.07</v>
      </c>
      <c r="L27" s="86" t="s">
        <v>112</v>
      </c>
      <c r="M27" s="86" t="s">
        <v>113</v>
      </c>
      <c r="N27" s="72" t="s">
        <v>114</v>
      </c>
      <c r="O27" s="86" t="s">
        <v>115</v>
      </c>
      <c r="P27" s="124"/>
      <c r="Q27" s="140"/>
    </row>
    <row r="28" s="52" customFormat="1" ht="48" customHeight="1" spans="1:17">
      <c r="A28" s="32">
        <v>5</v>
      </c>
      <c r="B28" s="100" t="s">
        <v>87</v>
      </c>
      <c r="C28" s="108" t="s">
        <v>116</v>
      </c>
      <c r="D28" s="86" t="s">
        <v>49</v>
      </c>
      <c r="E28" s="86" t="s">
        <v>24</v>
      </c>
      <c r="F28" s="86" t="s">
        <v>73</v>
      </c>
      <c r="G28" s="86" t="s">
        <v>26</v>
      </c>
      <c r="H28" s="72" t="s">
        <v>117</v>
      </c>
      <c r="I28" s="41">
        <v>9800</v>
      </c>
      <c r="J28" s="37">
        <v>60</v>
      </c>
      <c r="K28" s="42">
        <v>0.065</v>
      </c>
      <c r="L28" s="86" t="s">
        <v>37</v>
      </c>
      <c r="M28" s="86" t="s">
        <v>106</v>
      </c>
      <c r="N28" s="37" t="s">
        <v>107</v>
      </c>
      <c r="O28" s="86" t="s">
        <v>118</v>
      </c>
      <c r="P28" s="124"/>
      <c r="Q28" s="140"/>
    </row>
    <row r="29" s="52" customFormat="1" ht="48" customHeight="1" spans="1:17">
      <c r="A29" s="32">
        <v>6</v>
      </c>
      <c r="B29" s="100" t="s">
        <v>87</v>
      </c>
      <c r="C29" s="72" t="s">
        <v>119</v>
      </c>
      <c r="D29" s="86" t="s">
        <v>33</v>
      </c>
      <c r="E29" s="86" t="s">
        <v>24</v>
      </c>
      <c r="F29" s="86" t="s">
        <v>73</v>
      </c>
      <c r="G29" s="86" t="s">
        <v>26</v>
      </c>
      <c r="H29" s="72" t="s">
        <v>120</v>
      </c>
      <c r="I29" s="41">
        <v>12000</v>
      </c>
      <c r="J29" s="37">
        <v>42</v>
      </c>
      <c r="K29" s="42">
        <v>0.057</v>
      </c>
      <c r="L29" s="46" t="s">
        <v>121</v>
      </c>
      <c r="M29" s="37" t="s">
        <v>122</v>
      </c>
      <c r="N29" s="37" t="s">
        <v>123</v>
      </c>
      <c r="O29" s="37" t="s">
        <v>124</v>
      </c>
      <c r="P29" s="124"/>
      <c r="Q29" s="140"/>
    </row>
    <row r="30" s="52" customFormat="1" ht="48" customHeight="1" spans="1:17">
      <c r="A30" s="37"/>
      <c r="B30" s="101" t="s">
        <v>20</v>
      </c>
      <c r="C30" s="102"/>
      <c r="D30" s="32"/>
      <c r="E30" s="32"/>
      <c r="F30" s="32"/>
      <c r="G30" s="32"/>
      <c r="H30" s="32"/>
      <c r="I30" s="132">
        <f>SUM(I24:I29)+10000</f>
        <v>92800</v>
      </c>
      <c r="J30" s="32"/>
      <c r="K30" s="126"/>
      <c r="L30" s="127"/>
      <c r="M30" s="32"/>
      <c r="N30" s="124"/>
      <c r="O30" s="128"/>
      <c r="P30" s="124"/>
      <c r="Q30" s="140"/>
    </row>
    <row r="31" s="52" customFormat="1" ht="48" customHeight="1" spans="1:17">
      <c r="A31" s="32">
        <v>1</v>
      </c>
      <c r="B31" s="105" t="s">
        <v>125</v>
      </c>
      <c r="C31" s="42"/>
      <c r="D31" s="109"/>
      <c r="E31" s="109"/>
      <c r="F31" s="109"/>
      <c r="G31" s="109"/>
      <c r="H31" s="34"/>
      <c r="I31" s="134"/>
      <c r="J31" s="37"/>
      <c r="K31" s="42"/>
      <c r="L31" s="135"/>
      <c r="M31" s="37"/>
      <c r="N31" s="124"/>
      <c r="O31" s="124"/>
      <c r="P31" s="124"/>
      <c r="Q31" s="140"/>
    </row>
    <row r="32" s="52" customFormat="1" ht="48" customHeight="1" spans="1:17">
      <c r="A32" s="37"/>
      <c r="B32" s="101" t="s">
        <v>20</v>
      </c>
      <c r="C32" s="102"/>
      <c r="D32" s="32"/>
      <c r="E32" s="32"/>
      <c r="F32" s="32"/>
      <c r="G32" s="32"/>
      <c r="H32" s="32"/>
      <c r="I32" s="132">
        <f>SUM(I31:I31)</f>
        <v>0</v>
      </c>
      <c r="J32" s="32"/>
      <c r="K32" s="126"/>
      <c r="L32" s="127"/>
      <c r="M32" s="32"/>
      <c r="N32" s="124"/>
      <c r="O32" s="128"/>
      <c r="P32" s="124"/>
      <c r="Q32" s="140"/>
    </row>
    <row r="33" s="91" customFormat="1" ht="48" customHeight="1" spans="1:17">
      <c r="A33" s="12" t="s">
        <v>126</v>
      </c>
      <c r="B33" s="110"/>
      <c r="C33" s="102"/>
      <c r="D33" s="83"/>
      <c r="E33" s="83"/>
      <c r="F33" s="111"/>
      <c r="G33" s="111"/>
      <c r="H33" s="112"/>
      <c r="I33" s="132">
        <f>SUM(I5,I14,I16,I18,I20,I23,I30,I32)</f>
        <v>199750</v>
      </c>
      <c r="J33" s="136"/>
      <c r="K33" s="88"/>
      <c r="L33" s="137"/>
      <c r="M33" s="88"/>
      <c r="N33" s="121"/>
      <c r="O33" s="138"/>
      <c r="P33" s="121"/>
      <c r="Q33" s="141"/>
    </row>
  </sheetData>
  <mergeCells count="11">
    <mergeCell ref="A1:Q1"/>
    <mergeCell ref="A2:Q2"/>
    <mergeCell ref="B5:C5"/>
    <mergeCell ref="B14:C14"/>
    <mergeCell ref="B16:C16"/>
    <mergeCell ref="B18:C18"/>
    <mergeCell ref="B20:C20"/>
    <mergeCell ref="B23:C23"/>
    <mergeCell ref="B30:C30"/>
    <mergeCell ref="B32:C32"/>
    <mergeCell ref="A33:C33"/>
  </mergeCells>
  <dataValidations count="2">
    <dataValidation type="list" allowBlank="1" showInputMessage="1" showErrorMessage="1" sqref="E15 E19">
      <formula1>"是,否"</formula1>
    </dataValidation>
    <dataValidation type="list" allowBlank="1" showInputMessage="1" showErrorMessage="1" sqref="G17 G28 G29 G21:G22 G24:G27">
      <formula1>"厂商租,贴息租,经营租,特色租,传统租"</formula1>
    </dataValidation>
  </dataValidations>
  <printOptions horizontalCentered="1"/>
  <pageMargins left="0.0784722222222222" right="0.25" top="0.75" bottom="0.75" header="0.354166666666667" footer="0.3"/>
  <pageSetup paperSize="9" scale="24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P59"/>
  <sheetViews>
    <sheetView zoomScale="25" zoomScaleNormal="25" topLeftCell="A27" workbookViewId="0">
      <selection activeCell="I53" sqref="I53"/>
    </sheetView>
  </sheetViews>
  <sheetFormatPr defaultColWidth="9" defaultRowHeight="15.6"/>
  <cols>
    <col min="1" max="1" width="7.24074074074074" style="29" customWidth="1"/>
    <col min="2" max="2" width="27.8981481481481" style="53" customWidth="1"/>
    <col min="3" max="3" width="55.8703703703704" style="53" customWidth="1"/>
    <col min="4" max="4" width="16.787037037037" style="53" customWidth="1"/>
    <col min="5" max="5" width="22.3703703703704" style="53" customWidth="1"/>
    <col min="6" max="6" width="12.6296296296296" style="53" customWidth="1"/>
    <col min="7" max="7" width="22.3703703703704" style="53" customWidth="1"/>
    <col min="8" max="8" width="19.5277777777778" style="53" customWidth="1"/>
    <col min="9" max="9" width="23.1944444444444" style="54" customWidth="1"/>
    <col min="10" max="10" width="17.037037037037" style="29" customWidth="1"/>
    <col min="11" max="11" width="13.7592592592593" style="55" customWidth="1"/>
    <col min="12" max="12" width="9.36111111111111" style="56" customWidth="1"/>
    <col min="13" max="13" width="9.75925925925926" style="29" customWidth="1"/>
    <col min="14" max="14" width="74.8611111111111" style="53" customWidth="1"/>
    <col min="15" max="15" width="10.1944444444444" style="29" customWidth="1"/>
    <col min="16" max="16" width="48.8888888888889" style="29" customWidth="1"/>
    <col min="17" max="17" width="9" style="29" customWidth="1"/>
    <col min="18" max="18" width="14" style="29" customWidth="1"/>
    <col min="19" max="16382" width="9" style="29" customWidth="1"/>
    <col min="16383" max="16384" width="9" style="29"/>
  </cols>
  <sheetData>
    <row r="1" ht="38.25" customHeight="1" spans="1:16">
      <c r="A1" s="57" t="s">
        <v>127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75"/>
    </row>
    <row r="2" s="51" customFormat="1" ht="34" customHeight="1" spans="1:16">
      <c r="A2" s="59" t="s">
        <v>128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76"/>
    </row>
    <row r="3" s="51" customFormat="1" ht="40" customHeight="1" spans="1:16">
      <c r="A3" s="31" t="s">
        <v>2</v>
      </c>
      <c r="B3" s="31" t="s">
        <v>3</v>
      </c>
      <c r="C3" s="31" t="s">
        <v>4</v>
      </c>
      <c r="D3" s="31" t="s">
        <v>5</v>
      </c>
      <c r="E3" s="31" t="s">
        <v>129</v>
      </c>
      <c r="F3" s="31" t="s">
        <v>6</v>
      </c>
      <c r="G3" s="31" t="s">
        <v>7</v>
      </c>
      <c r="H3" s="31" t="s">
        <v>9</v>
      </c>
      <c r="I3" s="77" t="s">
        <v>10</v>
      </c>
      <c r="J3" s="31" t="s">
        <v>11</v>
      </c>
      <c r="K3" s="39" t="s">
        <v>12</v>
      </c>
      <c r="L3" s="40" t="s">
        <v>13</v>
      </c>
      <c r="M3" s="31" t="s">
        <v>14</v>
      </c>
      <c r="N3" s="31" t="s">
        <v>15</v>
      </c>
      <c r="O3" s="31" t="s">
        <v>16</v>
      </c>
      <c r="P3" s="31" t="s">
        <v>17</v>
      </c>
    </row>
    <row r="4" s="51" customFormat="1" ht="40" customHeight="1" spans="1:16">
      <c r="A4" s="61" t="s">
        <v>130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75"/>
    </row>
    <row r="5" s="52" customFormat="1" ht="48" customHeight="1" spans="1:16">
      <c r="A5" s="31">
        <v>1</v>
      </c>
      <c r="B5" s="31"/>
      <c r="C5" s="62"/>
      <c r="D5" s="14"/>
      <c r="E5" s="14"/>
      <c r="F5" s="62"/>
      <c r="G5" s="62"/>
      <c r="H5" s="63"/>
      <c r="I5" s="78"/>
      <c r="J5" s="14"/>
      <c r="K5" s="79"/>
      <c r="L5" s="14"/>
      <c r="M5" s="62"/>
      <c r="N5" s="63"/>
      <c r="O5" s="62"/>
      <c r="P5" s="64"/>
    </row>
    <row r="6" s="51" customFormat="1" ht="48" customHeight="1" spans="1:16">
      <c r="A6" s="31">
        <v>2</v>
      </c>
      <c r="B6" s="31"/>
      <c r="C6" s="64"/>
      <c r="D6" s="65"/>
      <c r="E6" s="14"/>
      <c r="F6" s="65"/>
      <c r="G6" s="65"/>
      <c r="H6" s="65"/>
      <c r="I6" s="80"/>
      <c r="J6" s="64"/>
      <c r="K6" s="67"/>
      <c r="L6" s="81"/>
      <c r="M6" s="64"/>
      <c r="N6" s="64"/>
      <c r="O6" s="64"/>
      <c r="P6" s="64"/>
    </row>
    <row r="7" s="51" customFormat="1" ht="45" customHeight="1" spans="1:16">
      <c r="A7" s="31">
        <v>3</v>
      </c>
      <c r="B7" s="31"/>
      <c r="C7" s="64"/>
      <c r="D7" s="65"/>
      <c r="E7" s="14"/>
      <c r="F7" s="64"/>
      <c r="G7" s="64"/>
      <c r="H7" s="65"/>
      <c r="I7" s="80"/>
      <c r="J7" s="64"/>
      <c r="K7" s="67"/>
      <c r="L7" s="81"/>
      <c r="M7" s="64"/>
      <c r="N7" s="64"/>
      <c r="O7" s="64"/>
      <c r="P7" s="64"/>
    </row>
    <row r="8" s="51" customFormat="1" ht="48" customHeight="1" spans="1:16">
      <c r="A8" s="31">
        <v>4</v>
      </c>
      <c r="B8" s="66"/>
      <c r="C8" s="64"/>
      <c r="D8" s="65"/>
      <c r="E8" s="14"/>
      <c r="F8" s="65"/>
      <c r="G8" s="65"/>
      <c r="H8" s="65"/>
      <c r="I8" s="80"/>
      <c r="J8" s="64"/>
      <c r="K8" s="82"/>
      <c r="L8" s="81"/>
      <c r="M8" s="64"/>
      <c r="N8" s="64"/>
      <c r="O8" s="64"/>
      <c r="P8" s="64"/>
    </row>
    <row r="9" s="51" customFormat="1" ht="48" customHeight="1" spans="1:16">
      <c r="A9" s="31">
        <v>5</v>
      </c>
      <c r="B9" s="66"/>
      <c r="C9" s="64"/>
      <c r="D9" s="65"/>
      <c r="E9" s="14"/>
      <c r="F9" s="65"/>
      <c r="G9" s="65"/>
      <c r="H9" s="65"/>
      <c r="I9" s="80"/>
      <c r="J9" s="64"/>
      <c r="K9" s="82"/>
      <c r="L9" s="81"/>
      <c r="M9" s="64"/>
      <c r="N9" s="64"/>
      <c r="O9" s="64"/>
      <c r="P9" s="64"/>
    </row>
    <row r="10" s="51" customFormat="1" ht="51" customHeight="1" spans="1:16">
      <c r="A10" s="31">
        <v>6</v>
      </c>
      <c r="B10" s="31"/>
      <c r="C10" s="63"/>
      <c r="D10" s="62"/>
      <c r="E10" s="14"/>
      <c r="F10" s="62"/>
      <c r="G10" s="64"/>
      <c r="H10" s="64"/>
      <c r="I10" s="80"/>
      <c r="J10" s="64"/>
      <c r="K10" s="82"/>
      <c r="L10" s="81"/>
      <c r="M10" s="81"/>
      <c r="N10" s="83"/>
      <c r="O10" s="62"/>
      <c r="P10" s="64"/>
    </row>
    <row r="11" s="51" customFormat="1" ht="48" customHeight="1" spans="1:16">
      <c r="A11" s="31">
        <v>7</v>
      </c>
      <c r="B11" s="31"/>
      <c r="C11" s="62"/>
      <c r="D11" s="62"/>
      <c r="E11" s="14"/>
      <c r="F11" s="62"/>
      <c r="G11" s="64"/>
      <c r="H11" s="64"/>
      <c r="I11" s="80"/>
      <c r="J11" s="64"/>
      <c r="K11" s="82"/>
      <c r="L11" s="81"/>
      <c r="M11" s="81"/>
      <c r="N11" s="62"/>
      <c r="O11" s="62"/>
      <c r="P11" s="64"/>
    </row>
    <row r="12" s="51" customFormat="1" ht="48" customHeight="1" spans="1:16">
      <c r="A12" s="31">
        <v>8</v>
      </c>
      <c r="B12" s="31"/>
      <c r="C12" s="62"/>
      <c r="D12" s="62"/>
      <c r="E12" s="14"/>
      <c r="F12" s="62"/>
      <c r="G12" s="64"/>
      <c r="H12" s="64"/>
      <c r="I12" s="80"/>
      <c r="J12" s="64"/>
      <c r="K12" s="82"/>
      <c r="L12" s="81"/>
      <c r="M12" s="81"/>
      <c r="N12" s="62"/>
      <c r="O12" s="62"/>
      <c r="P12" s="64"/>
    </row>
    <row r="13" s="51" customFormat="1" ht="48" customHeight="1" spans="1:16">
      <c r="A13" s="31">
        <v>9</v>
      </c>
      <c r="B13" s="31"/>
      <c r="C13" s="62"/>
      <c r="D13" s="62"/>
      <c r="E13" s="14"/>
      <c r="F13" s="62"/>
      <c r="G13" s="64"/>
      <c r="H13" s="64"/>
      <c r="I13" s="80"/>
      <c r="J13" s="64"/>
      <c r="K13" s="82"/>
      <c r="L13" s="81"/>
      <c r="M13" s="81"/>
      <c r="N13" s="62"/>
      <c r="O13" s="62"/>
      <c r="P13" s="64"/>
    </row>
    <row r="14" s="51" customFormat="1" ht="48" customHeight="1" spans="1:16">
      <c r="A14" s="31">
        <v>10</v>
      </c>
      <c r="B14" s="31"/>
      <c r="C14" s="62"/>
      <c r="D14" s="62"/>
      <c r="E14" s="14"/>
      <c r="F14" s="62"/>
      <c r="G14" s="64"/>
      <c r="H14" s="64"/>
      <c r="I14" s="80"/>
      <c r="J14" s="64"/>
      <c r="K14" s="82"/>
      <c r="L14" s="81"/>
      <c r="M14" s="81"/>
      <c r="N14" s="62"/>
      <c r="O14" s="62"/>
      <c r="P14" s="64"/>
    </row>
    <row r="15" s="51" customFormat="1" ht="48" customHeight="1" spans="1:16">
      <c r="A15" s="31">
        <v>11</v>
      </c>
      <c r="B15" s="31"/>
      <c r="C15" s="63"/>
      <c r="D15" s="62"/>
      <c r="E15" s="14"/>
      <c r="F15" s="62"/>
      <c r="G15" s="64"/>
      <c r="H15" s="64"/>
      <c r="I15" s="80"/>
      <c r="J15" s="64"/>
      <c r="K15" s="82"/>
      <c r="L15" s="81"/>
      <c r="M15" s="81"/>
      <c r="N15" s="62"/>
      <c r="O15" s="62"/>
      <c r="P15" s="64"/>
    </row>
    <row r="16" s="51" customFormat="1" ht="48" customHeight="1" spans="1:16">
      <c r="A16" s="31">
        <v>12</v>
      </c>
      <c r="B16" s="31"/>
      <c r="C16" s="67"/>
      <c r="D16" s="68"/>
      <c r="E16" s="14"/>
      <c r="F16" s="68"/>
      <c r="G16" s="68"/>
      <c r="H16" s="65"/>
      <c r="I16" s="84"/>
      <c r="J16" s="64"/>
      <c r="K16" s="67"/>
      <c r="L16" s="67"/>
      <c r="M16" s="64"/>
      <c r="N16" s="64"/>
      <c r="O16" s="64"/>
      <c r="P16" s="64"/>
    </row>
    <row r="17" s="51" customFormat="1" ht="77" customHeight="1" spans="1:16">
      <c r="A17" s="31">
        <v>13</v>
      </c>
      <c r="B17" s="31"/>
      <c r="C17" s="67"/>
      <c r="D17" s="68"/>
      <c r="E17" s="14"/>
      <c r="F17" s="68"/>
      <c r="G17" s="68"/>
      <c r="H17" s="65"/>
      <c r="I17" s="84"/>
      <c r="J17" s="64"/>
      <c r="K17" s="67"/>
      <c r="L17" s="67"/>
      <c r="M17" s="64"/>
      <c r="N17" s="64"/>
      <c r="O17" s="64"/>
      <c r="P17" s="64"/>
    </row>
    <row r="18" s="51" customFormat="1" ht="48" customHeight="1" spans="1:16">
      <c r="A18" s="31">
        <v>14</v>
      </c>
      <c r="B18" s="31"/>
      <c r="C18" s="67"/>
      <c r="D18" s="68"/>
      <c r="E18" s="14"/>
      <c r="F18" s="68"/>
      <c r="G18" s="68"/>
      <c r="H18" s="65"/>
      <c r="I18" s="84"/>
      <c r="J18" s="64"/>
      <c r="K18" s="67"/>
      <c r="L18" s="67"/>
      <c r="M18" s="64"/>
      <c r="N18" s="64"/>
      <c r="O18" s="64"/>
      <c r="P18" s="64"/>
    </row>
    <row r="19" s="51" customFormat="1" ht="48" customHeight="1" spans="1:16">
      <c r="A19" s="31">
        <v>15</v>
      </c>
      <c r="B19" s="31"/>
      <c r="C19" s="67"/>
      <c r="D19" s="68"/>
      <c r="E19" s="14"/>
      <c r="F19" s="68"/>
      <c r="G19" s="68"/>
      <c r="H19" s="65"/>
      <c r="I19" s="84"/>
      <c r="J19" s="64"/>
      <c r="K19" s="67"/>
      <c r="L19" s="67"/>
      <c r="M19" s="64"/>
      <c r="N19" s="64"/>
      <c r="O19" s="64"/>
      <c r="P19" s="64"/>
    </row>
    <row r="20" s="51" customFormat="1" ht="48" customHeight="1" spans="1:16">
      <c r="A20" s="31">
        <v>16</v>
      </c>
      <c r="B20" s="31"/>
      <c r="C20" s="67"/>
      <c r="D20" s="68"/>
      <c r="E20" s="14"/>
      <c r="F20" s="68"/>
      <c r="G20" s="68"/>
      <c r="H20" s="65"/>
      <c r="I20" s="84"/>
      <c r="J20" s="64"/>
      <c r="K20" s="67"/>
      <c r="L20" s="67"/>
      <c r="M20" s="64"/>
      <c r="N20" s="64"/>
      <c r="O20" s="64"/>
      <c r="P20" s="64"/>
    </row>
    <row r="21" s="51" customFormat="1" ht="48" customHeight="1" spans="1:16">
      <c r="A21" s="31">
        <v>17</v>
      </c>
      <c r="B21" s="31"/>
      <c r="C21" s="67"/>
      <c r="D21" s="68"/>
      <c r="E21" s="14"/>
      <c r="F21" s="68"/>
      <c r="G21" s="68"/>
      <c r="H21" s="65"/>
      <c r="I21" s="84"/>
      <c r="J21" s="64"/>
      <c r="K21" s="67"/>
      <c r="L21" s="67"/>
      <c r="M21" s="64"/>
      <c r="N21" s="64"/>
      <c r="O21" s="64"/>
      <c r="P21" s="64"/>
    </row>
    <row r="22" s="51" customFormat="1" ht="48" customHeight="1" spans="1:16">
      <c r="A22" s="31">
        <v>18</v>
      </c>
      <c r="B22" s="31"/>
      <c r="C22" s="67"/>
      <c r="D22" s="68"/>
      <c r="E22" s="14"/>
      <c r="F22" s="68"/>
      <c r="G22" s="68"/>
      <c r="H22" s="65"/>
      <c r="I22" s="84"/>
      <c r="J22" s="64"/>
      <c r="K22" s="67"/>
      <c r="L22" s="67"/>
      <c r="M22" s="64"/>
      <c r="N22" s="64"/>
      <c r="O22" s="64"/>
      <c r="P22" s="64"/>
    </row>
    <row r="23" s="51" customFormat="1" ht="48" customHeight="1" spans="1:16">
      <c r="A23" s="31">
        <v>19</v>
      </c>
      <c r="B23" s="31"/>
      <c r="C23" s="67"/>
      <c r="D23" s="68"/>
      <c r="E23" s="14"/>
      <c r="F23" s="68"/>
      <c r="G23" s="68"/>
      <c r="H23" s="65"/>
      <c r="I23" s="84"/>
      <c r="J23" s="64"/>
      <c r="K23" s="67"/>
      <c r="L23" s="67"/>
      <c r="M23" s="64"/>
      <c r="N23" s="64"/>
      <c r="O23" s="64"/>
      <c r="P23" s="64"/>
    </row>
    <row r="24" s="51" customFormat="1" ht="42" customHeight="1" spans="1:16">
      <c r="A24" s="31"/>
      <c r="B24" s="31"/>
      <c r="C24" s="31" t="s">
        <v>20</v>
      </c>
      <c r="D24" s="69"/>
      <c r="E24" s="69"/>
      <c r="F24" s="69"/>
      <c r="G24" s="69"/>
      <c r="H24" s="70"/>
      <c r="I24" s="85">
        <f>SUM(I5:I23)</f>
        <v>0</v>
      </c>
      <c r="J24" s="64"/>
      <c r="K24" s="67"/>
      <c r="L24" s="81"/>
      <c r="M24" s="64"/>
      <c r="N24" s="64"/>
      <c r="O24" s="64"/>
      <c r="P24" s="83"/>
    </row>
    <row r="25" s="51" customFormat="1" ht="40" customHeight="1" spans="1:16">
      <c r="A25" s="61" t="s">
        <v>131</v>
      </c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75"/>
    </row>
    <row r="26" s="51" customFormat="1" ht="54" customHeight="1" spans="1:16">
      <c r="A26" s="31">
        <v>1</v>
      </c>
      <c r="B26" s="31"/>
      <c r="C26" s="64"/>
      <c r="D26" s="64"/>
      <c r="E26" s="64"/>
      <c r="F26" s="65"/>
      <c r="G26" s="64"/>
      <c r="H26" s="65"/>
      <c r="I26" s="78"/>
      <c r="J26" s="64"/>
      <c r="K26" s="67"/>
      <c r="L26" s="63"/>
      <c r="M26" s="64"/>
      <c r="N26" s="64"/>
      <c r="O26" s="62"/>
      <c r="P26" s="64"/>
    </row>
    <row r="27" s="51" customFormat="1" ht="40" customHeight="1" spans="1:16">
      <c r="A27" s="31">
        <v>2</v>
      </c>
      <c r="B27" s="31"/>
      <c r="C27" s="64"/>
      <c r="D27" s="64"/>
      <c r="E27" s="64"/>
      <c r="F27" s="64"/>
      <c r="G27" s="64"/>
      <c r="H27" s="64"/>
      <c r="I27" s="84"/>
      <c r="J27" s="64"/>
      <c r="K27" s="67"/>
      <c r="L27" s="81"/>
      <c r="M27" s="64"/>
      <c r="N27" s="64"/>
      <c r="O27" s="64"/>
      <c r="P27" s="64"/>
    </row>
    <row r="28" s="51" customFormat="1" ht="40" customHeight="1" spans="1:16">
      <c r="A28" s="31">
        <v>3</v>
      </c>
      <c r="B28" s="31"/>
      <c r="C28" s="64"/>
      <c r="D28" s="64"/>
      <c r="E28" s="64"/>
      <c r="F28" s="64"/>
      <c r="G28" s="64"/>
      <c r="H28" s="64"/>
      <c r="I28" s="84"/>
      <c r="J28" s="64"/>
      <c r="K28" s="67"/>
      <c r="L28" s="81"/>
      <c r="M28" s="64"/>
      <c r="N28" s="64"/>
      <c r="O28" s="64"/>
      <c r="P28" s="64"/>
    </row>
    <row r="29" s="51" customFormat="1" ht="40" customHeight="1" spans="1:16">
      <c r="A29" s="31">
        <v>4</v>
      </c>
      <c r="B29" s="31"/>
      <c r="C29" s="64"/>
      <c r="D29" s="64"/>
      <c r="E29" s="64"/>
      <c r="F29" s="64"/>
      <c r="G29" s="64"/>
      <c r="H29" s="64"/>
      <c r="I29" s="84"/>
      <c r="J29" s="64"/>
      <c r="K29" s="67"/>
      <c r="L29" s="81"/>
      <c r="M29" s="64"/>
      <c r="N29" s="64"/>
      <c r="O29" s="64"/>
      <c r="P29" s="64"/>
    </row>
    <row r="30" s="51" customFormat="1" ht="40" customHeight="1" spans="1:16">
      <c r="A30" s="31">
        <v>5</v>
      </c>
      <c r="B30" s="31"/>
      <c r="C30" s="64"/>
      <c r="D30" s="64"/>
      <c r="E30" s="64"/>
      <c r="F30" s="64"/>
      <c r="G30" s="64"/>
      <c r="H30" s="64"/>
      <c r="I30" s="84"/>
      <c r="J30" s="64"/>
      <c r="K30" s="67"/>
      <c r="L30" s="81"/>
      <c r="M30" s="64"/>
      <c r="N30" s="64"/>
      <c r="O30" s="64"/>
      <c r="P30" s="64"/>
    </row>
    <row r="31" s="51" customFormat="1" ht="40" customHeight="1" spans="1:16">
      <c r="A31" s="31">
        <v>6</v>
      </c>
      <c r="B31" s="31"/>
      <c r="C31" s="64"/>
      <c r="D31" s="64"/>
      <c r="E31" s="64"/>
      <c r="F31" s="64"/>
      <c r="G31" s="64"/>
      <c r="H31" s="64"/>
      <c r="I31" s="84"/>
      <c r="J31" s="64"/>
      <c r="K31" s="67"/>
      <c r="L31" s="81"/>
      <c r="M31" s="64"/>
      <c r="N31" s="64"/>
      <c r="O31" s="64"/>
      <c r="P31" s="64"/>
    </row>
    <row r="32" s="51" customFormat="1" ht="40" customHeight="1" spans="1:16">
      <c r="A32" s="31">
        <v>7</v>
      </c>
      <c r="B32" s="31"/>
      <c r="C32" s="64"/>
      <c r="D32" s="64"/>
      <c r="E32" s="64"/>
      <c r="F32" s="64"/>
      <c r="G32" s="64"/>
      <c r="H32" s="64"/>
      <c r="I32" s="84"/>
      <c r="J32" s="64"/>
      <c r="K32" s="67"/>
      <c r="L32" s="81"/>
      <c r="M32" s="64"/>
      <c r="N32" s="64"/>
      <c r="O32" s="64"/>
      <c r="P32" s="64"/>
    </row>
    <row r="33" s="51" customFormat="1" ht="40" customHeight="1" spans="1:16">
      <c r="A33" s="31">
        <v>8</v>
      </c>
      <c r="B33" s="31"/>
      <c r="C33" s="64"/>
      <c r="D33" s="64"/>
      <c r="E33" s="64"/>
      <c r="F33" s="64"/>
      <c r="G33" s="64"/>
      <c r="H33" s="64"/>
      <c r="I33" s="84"/>
      <c r="J33" s="64"/>
      <c r="K33" s="67"/>
      <c r="L33" s="81"/>
      <c r="M33" s="64"/>
      <c r="N33" s="64"/>
      <c r="O33" s="64"/>
      <c r="P33" s="64"/>
    </row>
    <row r="34" s="51" customFormat="1" ht="40" customHeight="1" spans="1:16">
      <c r="A34" s="31">
        <v>9</v>
      </c>
      <c r="B34" s="31"/>
      <c r="C34" s="64"/>
      <c r="D34" s="64"/>
      <c r="E34" s="64"/>
      <c r="F34" s="64"/>
      <c r="G34" s="64"/>
      <c r="H34" s="64"/>
      <c r="I34" s="84"/>
      <c r="J34" s="64"/>
      <c r="K34" s="67"/>
      <c r="L34" s="81"/>
      <c r="M34" s="64"/>
      <c r="N34" s="64"/>
      <c r="O34" s="64"/>
      <c r="P34" s="64"/>
    </row>
    <row r="35" s="51" customFormat="1" ht="40" customHeight="1" spans="1:16">
      <c r="A35" s="31">
        <v>10</v>
      </c>
      <c r="B35" s="31"/>
      <c r="C35" s="64"/>
      <c r="D35" s="64"/>
      <c r="E35" s="64"/>
      <c r="F35" s="64"/>
      <c r="G35" s="64"/>
      <c r="H35" s="64"/>
      <c r="I35" s="84"/>
      <c r="J35" s="64"/>
      <c r="K35" s="67"/>
      <c r="L35" s="81"/>
      <c r="M35" s="64"/>
      <c r="N35" s="64"/>
      <c r="O35" s="64"/>
      <c r="P35" s="64"/>
    </row>
    <row r="36" s="51" customFormat="1" ht="40" customHeight="1" spans="1:16">
      <c r="A36" s="31">
        <v>11</v>
      </c>
      <c r="B36" s="31"/>
      <c r="C36" s="64"/>
      <c r="D36" s="64"/>
      <c r="E36" s="64"/>
      <c r="F36" s="64"/>
      <c r="G36" s="64"/>
      <c r="H36" s="64"/>
      <c r="I36" s="84"/>
      <c r="J36" s="64"/>
      <c r="K36" s="67"/>
      <c r="L36" s="81"/>
      <c r="M36" s="64"/>
      <c r="N36" s="64"/>
      <c r="O36" s="64"/>
      <c r="P36" s="64"/>
    </row>
    <row r="37" s="51" customFormat="1" ht="40" customHeight="1" spans="1:16">
      <c r="A37" s="31">
        <v>12</v>
      </c>
      <c r="B37" s="31"/>
      <c r="C37" s="64"/>
      <c r="D37" s="64"/>
      <c r="E37" s="64"/>
      <c r="F37" s="64"/>
      <c r="G37" s="64"/>
      <c r="H37" s="64"/>
      <c r="I37" s="84"/>
      <c r="J37" s="64"/>
      <c r="K37" s="67"/>
      <c r="L37" s="81"/>
      <c r="M37" s="64"/>
      <c r="N37" s="64"/>
      <c r="O37" s="64"/>
      <c r="P37" s="64"/>
    </row>
    <row r="38" s="51" customFormat="1" ht="40" customHeight="1" spans="1:16">
      <c r="A38" s="31">
        <v>13</v>
      </c>
      <c r="B38" s="31"/>
      <c r="C38" s="64"/>
      <c r="D38" s="64"/>
      <c r="E38" s="64"/>
      <c r="F38" s="64"/>
      <c r="G38" s="64"/>
      <c r="H38" s="64"/>
      <c r="I38" s="84"/>
      <c r="J38" s="64"/>
      <c r="K38" s="67"/>
      <c r="L38" s="81"/>
      <c r="M38" s="64"/>
      <c r="N38" s="64"/>
      <c r="O38" s="64"/>
      <c r="P38" s="64"/>
    </row>
    <row r="39" s="51" customFormat="1" ht="40" customHeight="1" spans="1:16">
      <c r="A39" s="31">
        <v>14</v>
      </c>
      <c r="B39" s="31"/>
      <c r="C39" s="64"/>
      <c r="D39" s="64"/>
      <c r="E39" s="64"/>
      <c r="F39" s="64"/>
      <c r="G39" s="64"/>
      <c r="H39" s="64"/>
      <c r="I39" s="84"/>
      <c r="J39" s="64"/>
      <c r="K39" s="67"/>
      <c r="L39" s="81"/>
      <c r="M39" s="64"/>
      <c r="N39" s="64"/>
      <c r="O39" s="64"/>
      <c r="P39" s="64"/>
    </row>
    <row r="40" s="51" customFormat="1" ht="40" customHeight="1" spans="1:16">
      <c r="A40" s="31">
        <v>15</v>
      </c>
      <c r="B40" s="31"/>
      <c r="C40" s="64"/>
      <c r="D40" s="64"/>
      <c r="E40" s="64"/>
      <c r="F40" s="64"/>
      <c r="G40" s="64"/>
      <c r="H40" s="64"/>
      <c r="I40" s="84"/>
      <c r="J40" s="64"/>
      <c r="K40" s="67"/>
      <c r="L40" s="81"/>
      <c r="M40" s="64"/>
      <c r="N40" s="64"/>
      <c r="O40" s="64"/>
      <c r="P40" s="64"/>
    </row>
    <row r="41" s="51" customFormat="1" ht="40" customHeight="1" spans="1:16">
      <c r="A41" s="31">
        <v>16</v>
      </c>
      <c r="B41" s="31"/>
      <c r="C41" s="64"/>
      <c r="D41" s="64"/>
      <c r="E41" s="64"/>
      <c r="F41" s="64"/>
      <c r="G41" s="64"/>
      <c r="H41" s="64"/>
      <c r="I41" s="84"/>
      <c r="J41" s="64"/>
      <c r="K41" s="67"/>
      <c r="L41" s="81"/>
      <c r="M41" s="64"/>
      <c r="N41" s="64"/>
      <c r="O41" s="64"/>
      <c r="P41" s="64"/>
    </row>
    <row r="42" s="51" customFormat="1" ht="48" customHeight="1" spans="1:16">
      <c r="A42" s="31">
        <v>17</v>
      </c>
      <c r="B42" s="31"/>
      <c r="C42" s="67"/>
      <c r="D42" s="68"/>
      <c r="E42" s="14"/>
      <c r="F42" s="68"/>
      <c r="G42" s="68"/>
      <c r="H42" s="65"/>
      <c r="I42" s="84"/>
      <c r="J42" s="64"/>
      <c r="K42" s="67"/>
      <c r="L42" s="67"/>
      <c r="M42" s="64"/>
      <c r="N42" s="64"/>
      <c r="O42" s="64"/>
      <c r="P42" s="64"/>
    </row>
    <row r="43" s="51" customFormat="1" ht="42" customHeight="1" spans="1:16">
      <c r="A43" s="32"/>
      <c r="B43" s="32"/>
      <c r="C43" s="31" t="s">
        <v>20</v>
      </c>
      <c r="D43" s="69"/>
      <c r="E43" s="69"/>
      <c r="F43" s="69"/>
      <c r="G43" s="69"/>
      <c r="H43" s="70"/>
      <c r="I43" s="85">
        <f>SUM(I26:I42)</f>
        <v>0</v>
      </c>
      <c r="J43" s="33"/>
      <c r="K43" s="42"/>
      <c r="L43" s="46"/>
      <c r="M43" s="33"/>
      <c r="N43" s="33"/>
      <c r="O43" s="33"/>
      <c r="P43" s="86"/>
    </row>
    <row r="44" s="51" customFormat="1" ht="40" customHeight="1" spans="1:16">
      <c r="A44" s="61" t="s">
        <v>132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75"/>
    </row>
    <row r="45" s="52" customFormat="1" ht="48" customHeight="1" spans="1:16">
      <c r="A45" s="31">
        <v>1</v>
      </c>
      <c r="B45" s="71"/>
      <c r="C45" s="64"/>
      <c r="D45" s="64"/>
      <c r="E45" s="64"/>
      <c r="F45" s="65"/>
      <c r="G45" s="64"/>
      <c r="H45" s="65"/>
      <c r="I45" s="78"/>
      <c r="J45" s="64"/>
      <c r="K45" s="67"/>
      <c r="L45" s="63"/>
      <c r="M45" s="64"/>
      <c r="N45" s="64"/>
      <c r="O45" s="62"/>
      <c r="P45" s="64"/>
    </row>
    <row r="46" s="52" customFormat="1" ht="48" customHeight="1" spans="1:16">
      <c r="A46" s="31">
        <v>2</v>
      </c>
      <c r="B46" s="31"/>
      <c r="C46" s="64"/>
      <c r="D46" s="65"/>
      <c r="E46" s="64"/>
      <c r="F46" s="65"/>
      <c r="G46" s="65"/>
      <c r="H46" s="65"/>
      <c r="I46" s="80"/>
      <c r="J46" s="64"/>
      <c r="K46" s="67"/>
      <c r="L46" s="81"/>
      <c r="M46" s="64"/>
      <c r="N46" s="64"/>
      <c r="O46" s="64"/>
      <c r="P46" s="64"/>
    </row>
    <row r="47" s="52" customFormat="1" ht="48" customHeight="1" spans="1:16">
      <c r="A47" s="31">
        <v>3</v>
      </c>
      <c r="B47" s="31"/>
      <c r="C47" s="64"/>
      <c r="D47" s="65"/>
      <c r="E47" s="64"/>
      <c r="F47" s="65"/>
      <c r="G47" s="65"/>
      <c r="H47" s="65"/>
      <c r="I47" s="80"/>
      <c r="J47" s="64"/>
      <c r="K47" s="67"/>
      <c r="L47" s="81"/>
      <c r="M47" s="64"/>
      <c r="N47" s="64"/>
      <c r="O47" s="64"/>
      <c r="P47" s="64"/>
    </row>
    <row r="48" s="52" customFormat="1" ht="48" customHeight="1" spans="1:16">
      <c r="A48" s="31">
        <v>4</v>
      </c>
      <c r="B48" s="31"/>
      <c r="C48" s="62"/>
      <c r="D48" s="14"/>
      <c r="E48" s="14"/>
      <c r="F48" s="62"/>
      <c r="G48" s="62"/>
      <c r="H48" s="63"/>
      <c r="I48" s="78"/>
      <c r="J48" s="14"/>
      <c r="K48" s="79"/>
      <c r="L48" s="14"/>
      <c r="M48" s="62"/>
      <c r="N48" s="63"/>
      <c r="O48" s="62"/>
      <c r="P48" s="64"/>
    </row>
    <row r="49" s="51" customFormat="1" ht="48" customHeight="1" spans="1:16">
      <c r="A49" s="31">
        <v>5</v>
      </c>
      <c r="B49" s="31"/>
      <c r="C49" s="62"/>
      <c r="D49" s="62"/>
      <c r="E49" s="14"/>
      <c r="F49" s="62"/>
      <c r="G49" s="64"/>
      <c r="H49" s="64"/>
      <c r="I49" s="80"/>
      <c r="J49" s="64"/>
      <c r="K49" s="82"/>
      <c r="L49" s="81"/>
      <c r="M49" s="81"/>
      <c r="N49" s="62"/>
      <c r="O49" s="62"/>
      <c r="P49" s="64"/>
    </row>
    <row r="50" s="51" customFormat="1" ht="48" customHeight="1" spans="1:16">
      <c r="A50" s="31">
        <v>6</v>
      </c>
      <c r="B50" s="31"/>
      <c r="C50" s="67"/>
      <c r="D50" s="68"/>
      <c r="E50" s="14"/>
      <c r="F50" s="68"/>
      <c r="G50" s="68"/>
      <c r="H50" s="65"/>
      <c r="I50" s="84"/>
      <c r="J50" s="64"/>
      <c r="K50" s="67"/>
      <c r="L50" s="67"/>
      <c r="M50" s="64"/>
      <c r="N50" s="64"/>
      <c r="O50" s="64"/>
      <c r="P50" s="64"/>
    </row>
    <row r="51" s="51" customFormat="1" ht="48" customHeight="1" spans="1:16">
      <c r="A51" s="31">
        <v>7</v>
      </c>
      <c r="B51" s="31"/>
      <c r="C51" s="67"/>
      <c r="D51" s="68"/>
      <c r="E51" s="14"/>
      <c r="F51" s="68"/>
      <c r="G51" s="68"/>
      <c r="H51" s="65"/>
      <c r="I51" s="84"/>
      <c r="J51" s="64"/>
      <c r="K51" s="67"/>
      <c r="L51" s="67"/>
      <c r="M51" s="64"/>
      <c r="N51" s="64"/>
      <c r="O51" s="64"/>
      <c r="P51" s="64"/>
    </row>
    <row r="52" s="51" customFormat="1" ht="40" customHeight="1" spans="1:16">
      <c r="A52" s="36"/>
      <c r="B52" s="36"/>
      <c r="C52" s="31" t="s">
        <v>20</v>
      </c>
      <c r="D52" s="69"/>
      <c r="E52" s="69"/>
      <c r="F52" s="69"/>
      <c r="G52" s="69"/>
      <c r="H52" s="70"/>
      <c r="I52" s="85">
        <f>SUM(I45:I51)</f>
        <v>0</v>
      </c>
      <c r="J52" s="33"/>
      <c r="K52" s="42"/>
      <c r="L52" s="46"/>
      <c r="M52" s="33"/>
      <c r="N52" s="33"/>
      <c r="O52" s="33"/>
      <c r="P52" s="72"/>
    </row>
    <row r="53" s="51" customFormat="1" ht="56" customHeight="1" spans="1:16">
      <c r="A53" s="12" t="s">
        <v>126</v>
      </c>
      <c r="B53" s="69"/>
      <c r="C53" s="70"/>
      <c r="D53" s="72"/>
      <c r="E53" s="72"/>
      <c r="F53" s="73"/>
      <c r="G53" s="74"/>
      <c r="H53" s="72"/>
      <c r="I53" s="85">
        <f>SUM(I24,I43,I52)</f>
        <v>0</v>
      </c>
      <c r="J53" s="86"/>
      <c r="K53" s="87"/>
      <c r="L53" s="88"/>
      <c r="M53" s="86"/>
      <c r="N53" s="72"/>
      <c r="O53" s="86"/>
      <c r="P53" s="86"/>
    </row>
    <row r="58" spans="9:9">
      <c r="I58" s="89"/>
    </row>
    <row r="59" spans="9:9">
      <c r="I59" s="89"/>
    </row>
  </sheetData>
  <mergeCells count="9">
    <mergeCell ref="A1:P1"/>
    <mergeCell ref="A2:P2"/>
    <mergeCell ref="A4:P4"/>
    <mergeCell ref="C24:H24"/>
    <mergeCell ref="A25:P25"/>
    <mergeCell ref="C43:H43"/>
    <mergeCell ref="A44:P44"/>
    <mergeCell ref="C52:H52"/>
    <mergeCell ref="A53:C53"/>
  </mergeCells>
  <dataValidations count="1">
    <dataValidation type="list" allowBlank="1" showInputMessage="1" showErrorMessage="1" sqref="F26 F45:F47">
      <formula1>"是,否"</formula1>
    </dataValidation>
  </dataValidations>
  <printOptions horizontalCentered="1"/>
  <pageMargins left="0.0784722222222222" right="0.25" top="0.75" bottom="0.75" header="0.354166666666667" footer="0.3"/>
  <pageSetup paperSize="9" scale="14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Q44"/>
  <sheetViews>
    <sheetView zoomScale="70" zoomScaleNormal="70" topLeftCell="E39" workbookViewId="0">
      <selection activeCell="P52" sqref="P52"/>
    </sheetView>
  </sheetViews>
  <sheetFormatPr defaultColWidth="9" defaultRowHeight="14.4"/>
  <cols>
    <col min="1" max="1" width="9" style="29" customWidth="1"/>
    <col min="2" max="2" width="20.1388888888889" style="29" customWidth="1"/>
    <col min="3" max="3" width="42.8425925925926" style="29" customWidth="1"/>
    <col min="4" max="4" width="20" style="29" customWidth="1"/>
    <col min="5" max="6" width="9" style="29" customWidth="1"/>
    <col min="7" max="7" width="18.0925925925926" style="29" customWidth="1"/>
    <col min="8" max="8" width="23" style="29" customWidth="1"/>
    <col min="9" max="9" width="24.4444444444444" style="30" customWidth="1"/>
    <col min="10" max="10" width="15.7037037037037" style="29" customWidth="1"/>
    <col min="11" max="11" width="15.5555555555556" style="29" customWidth="1"/>
    <col min="12" max="12" width="14.9166666666667" style="29" customWidth="1"/>
    <col min="13" max="13" width="8" style="29" customWidth="1"/>
    <col min="14" max="14" width="60.7592592592593" style="29" customWidth="1"/>
    <col min="15" max="15" width="12.2314814814815" style="29" customWidth="1"/>
    <col min="16" max="16" width="38.0833333333333" style="29" customWidth="1"/>
    <col min="17" max="17" width="21.4259259259259" style="29" customWidth="1"/>
    <col min="18" max="16384" width="9" style="29" customWidth="1"/>
  </cols>
  <sheetData>
    <row r="1" ht="48" customHeight="1" spans="1:17">
      <c r="A1" s="31" t="s">
        <v>2</v>
      </c>
      <c r="B1" s="31" t="s">
        <v>3</v>
      </c>
      <c r="C1" s="31" t="s">
        <v>4</v>
      </c>
      <c r="D1" s="31" t="s">
        <v>5</v>
      </c>
      <c r="E1" s="31" t="s">
        <v>129</v>
      </c>
      <c r="F1" s="31" t="s">
        <v>6</v>
      </c>
      <c r="G1" s="31" t="s">
        <v>7</v>
      </c>
      <c r="H1" s="31" t="s">
        <v>9</v>
      </c>
      <c r="I1" s="38" t="s">
        <v>10</v>
      </c>
      <c r="J1" s="31" t="s">
        <v>11</v>
      </c>
      <c r="K1" s="39" t="s">
        <v>12</v>
      </c>
      <c r="L1" s="40" t="s">
        <v>13</v>
      </c>
      <c r="M1" s="31" t="s">
        <v>14</v>
      </c>
      <c r="N1" s="31" t="s">
        <v>15</v>
      </c>
      <c r="O1" s="31" t="s">
        <v>16</v>
      </c>
      <c r="P1" s="31" t="s">
        <v>17</v>
      </c>
      <c r="Q1" s="31" t="s">
        <v>133</v>
      </c>
    </row>
    <row r="2" ht="48" customHeight="1" spans="1:17">
      <c r="A2" s="32">
        <v>1</v>
      </c>
      <c r="B2" s="32"/>
      <c r="C2" s="33"/>
      <c r="D2" s="33"/>
      <c r="E2" s="33"/>
      <c r="F2" s="34"/>
      <c r="G2" s="33"/>
      <c r="H2" s="34"/>
      <c r="I2" s="41"/>
      <c r="J2" s="33"/>
      <c r="K2" s="42"/>
      <c r="L2" s="43"/>
      <c r="M2" s="33"/>
      <c r="N2" s="33"/>
      <c r="O2" s="44"/>
      <c r="P2" s="33"/>
      <c r="Q2" s="50"/>
    </row>
    <row r="3" ht="48" customHeight="1" spans="1:17">
      <c r="A3" s="32">
        <v>2</v>
      </c>
      <c r="B3" s="32"/>
      <c r="C3" s="33"/>
      <c r="D3" s="33"/>
      <c r="E3" s="33"/>
      <c r="F3" s="34"/>
      <c r="G3" s="33"/>
      <c r="H3" s="34"/>
      <c r="I3" s="41"/>
      <c r="J3" s="33"/>
      <c r="K3" s="42"/>
      <c r="L3" s="43"/>
      <c r="M3" s="33"/>
      <c r="N3" s="33"/>
      <c r="O3" s="44"/>
      <c r="P3" s="33"/>
      <c r="Q3" s="50"/>
    </row>
    <row r="4" ht="48" customHeight="1" spans="1:17">
      <c r="A4" s="32">
        <v>3</v>
      </c>
      <c r="B4" s="32"/>
      <c r="C4" s="33"/>
      <c r="D4" s="33"/>
      <c r="E4" s="33"/>
      <c r="F4" s="34"/>
      <c r="G4" s="33"/>
      <c r="H4" s="34"/>
      <c r="I4" s="41"/>
      <c r="J4" s="33"/>
      <c r="K4" s="42"/>
      <c r="L4" s="43"/>
      <c r="M4" s="33"/>
      <c r="N4" s="33"/>
      <c r="O4" s="44"/>
      <c r="P4" s="33"/>
      <c r="Q4" s="50"/>
    </row>
    <row r="5" ht="48" customHeight="1" spans="1:17">
      <c r="A5" s="32">
        <v>4</v>
      </c>
      <c r="B5" s="32"/>
      <c r="C5" s="33"/>
      <c r="D5" s="33"/>
      <c r="E5" s="33"/>
      <c r="F5" s="34"/>
      <c r="G5" s="33"/>
      <c r="H5" s="34"/>
      <c r="I5" s="41"/>
      <c r="J5" s="33"/>
      <c r="K5" s="42"/>
      <c r="L5" s="43"/>
      <c r="M5" s="33"/>
      <c r="N5" s="33"/>
      <c r="O5" s="44"/>
      <c r="P5" s="33"/>
      <c r="Q5" s="50"/>
    </row>
    <row r="6" ht="48" customHeight="1" spans="1:17">
      <c r="A6" s="32">
        <v>5</v>
      </c>
      <c r="B6" s="32"/>
      <c r="C6" s="33"/>
      <c r="D6" s="33"/>
      <c r="E6" s="33"/>
      <c r="F6" s="34"/>
      <c r="G6" s="33"/>
      <c r="H6" s="34"/>
      <c r="I6" s="41"/>
      <c r="J6" s="33"/>
      <c r="K6" s="42"/>
      <c r="L6" s="43"/>
      <c r="M6" s="33"/>
      <c r="N6" s="33"/>
      <c r="O6" s="44"/>
      <c r="P6" s="33"/>
      <c r="Q6" s="50"/>
    </row>
    <row r="7" ht="48" customHeight="1" spans="1:17">
      <c r="A7" s="32">
        <v>6</v>
      </c>
      <c r="B7" s="32"/>
      <c r="C7" s="33"/>
      <c r="D7" s="33"/>
      <c r="E7" s="33"/>
      <c r="F7" s="33"/>
      <c r="G7" s="33"/>
      <c r="H7" s="33"/>
      <c r="I7" s="45"/>
      <c r="J7" s="33"/>
      <c r="K7" s="42"/>
      <c r="L7" s="46"/>
      <c r="M7" s="33"/>
      <c r="N7" s="33"/>
      <c r="O7" s="33"/>
      <c r="P7" s="33"/>
      <c r="Q7" s="50"/>
    </row>
    <row r="8" ht="48" customHeight="1" spans="1:17">
      <c r="A8" s="32">
        <v>7</v>
      </c>
      <c r="B8" s="32"/>
      <c r="C8" s="33"/>
      <c r="D8" s="33"/>
      <c r="E8" s="33"/>
      <c r="F8" s="33"/>
      <c r="G8" s="33"/>
      <c r="H8" s="33"/>
      <c r="I8" s="45"/>
      <c r="J8" s="33"/>
      <c r="K8" s="42"/>
      <c r="L8" s="46"/>
      <c r="M8" s="33"/>
      <c r="N8" s="33"/>
      <c r="O8" s="33"/>
      <c r="P8" s="33"/>
      <c r="Q8" s="50"/>
    </row>
    <row r="9" ht="48" customHeight="1" spans="1:17">
      <c r="A9" s="32">
        <v>8</v>
      </c>
      <c r="B9" s="32"/>
      <c r="C9" s="33"/>
      <c r="D9" s="33"/>
      <c r="E9" s="33"/>
      <c r="F9" s="33"/>
      <c r="G9" s="33"/>
      <c r="H9" s="33"/>
      <c r="I9" s="45"/>
      <c r="J9" s="33"/>
      <c r="K9" s="42"/>
      <c r="L9" s="46"/>
      <c r="M9" s="33"/>
      <c r="N9" s="33"/>
      <c r="O9" s="33"/>
      <c r="P9" s="33"/>
      <c r="Q9" s="50"/>
    </row>
    <row r="10" ht="48" customHeight="1" spans="1:17">
      <c r="A10" s="32">
        <v>9</v>
      </c>
      <c r="B10" s="32"/>
      <c r="C10" s="33"/>
      <c r="D10" s="33"/>
      <c r="E10" s="33"/>
      <c r="F10" s="33"/>
      <c r="G10" s="33"/>
      <c r="H10" s="33"/>
      <c r="I10" s="45"/>
      <c r="J10" s="33"/>
      <c r="K10" s="42"/>
      <c r="L10" s="46"/>
      <c r="M10" s="33"/>
      <c r="N10" s="33"/>
      <c r="O10" s="33"/>
      <c r="P10" s="33"/>
      <c r="Q10" s="50"/>
    </row>
    <row r="11" ht="48" customHeight="1" spans="1:17">
      <c r="A11" s="32">
        <v>10</v>
      </c>
      <c r="B11" s="32"/>
      <c r="C11" s="33"/>
      <c r="D11" s="34"/>
      <c r="E11" s="33"/>
      <c r="F11" s="34"/>
      <c r="G11" s="34"/>
      <c r="H11" s="34"/>
      <c r="I11" s="47"/>
      <c r="J11" s="33"/>
      <c r="K11" s="42"/>
      <c r="L11" s="46"/>
      <c r="M11" s="33"/>
      <c r="N11" s="33"/>
      <c r="O11" s="33"/>
      <c r="P11" s="33"/>
      <c r="Q11" s="50"/>
    </row>
    <row r="12" ht="48" customHeight="1" spans="1:17">
      <c r="A12" s="32">
        <v>11</v>
      </c>
      <c r="B12" s="32"/>
      <c r="C12" s="33"/>
      <c r="D12" s="34"/>
      <c r="E12" s="33"/>
      <c r="F12" s="34"/>
      <c r="G12" s="34"/>
      <c r="H12" s="34"/>
      <c r="I12" s="48"/>
      <c r="J12" s="33"/>
      <c r="K12" s="42"/>
      <c r="L12" s="46"/>
      <c r="M12" s="33"/>
      <c r="N12" s="33"/>
      <c r="O12" s="33"/>
      <c r="P12" s="33"/>
      <c r="Q12" s="50"/>
    </row>
    <row r="13" ht="48" customHeight="1" spans="1:17">
      <c r="A13" s="32">
        <v>12</v>
      </c>
      <c r="B13" s="32"/>
      <c r="C13" s="33"/>
      <c r="D13" s="34"/>
      <c r="E13" s="33"/>
      <c r="F13" s="34"/>
      <c r="G13" s="34"/>
      <c r="H13" s="34"/>
      <c r="I13" s="48"/>
      <c r="J13" s="33"/>
      <c r="K13" s="42"/>
      <c r="L13" s="46"/>
      <c r="M13" s="33"/>
      <c r="N13" s="33"/>
      <c r="O13" s="33"/>
      <c r="P13" s="33"/>
      <c r="Q13" s="50"/>
    </row>
    <row r="14" ht="48" customHeight="1" spans="1:17">
      <c r="A14" s="32">
        <v>13</v>
      </c>
      <c r="B14" s="32"/>
      <c r="C14" s="33"/>
      <c r="D14" s="34"/>
      <c r="E14" s="33"/>
      <c r="F14" s="34"/>
      <c r="G14" s="34"/>
      <c r="H14" s="34"/>
      <c r="I14" s="47"/>
      <c r="J14" s="33"/>
      <c r="K14" s="42"/>
      <c r="L14" s="46"/>
      <c r="M14" s="33"/>
      <c r="N14" s="33"/>
      <c r="O14" s="33"/>
      <c r="P14" s="33"/>
      <c r="Q14" s="50"/>
    </row>
    <row r="15" ht="48" customHeight="1" spans="1:17">
      <c r="A15" s="32">
        <v>14</v>
      </c>
      <c r="B15" s="32"/>
      <c r="C15" s="33"/>
      <c r="D15" s="34"/>
      <c r="E15" s="33"/>
      <c r="F15" s="34"/>
      <c r="G15" s="34"/>
      <c r="H15" s="34"/>
      <c r="I15" s="47"/>
      <c r="J15" s="33"/>
      <c r="K15" s="42"/>
      <c r="L15" s="46"/>
      <c r="M15" s="33"/>
      <c r="N15" s="33"/>
      <c r="O15" s="33"/>
      <c r="P15" s="33"/>
      <c r="Q15" s="50"/>
    </row>
    <row r="16" ht="48" customHeight="1" spans="1:17">
      <c r="A16" s="32">
        <v>15</v>
      </c>
      <c r="B16" s="32"/>
      <c r="C16" s="33"/>
      <c r="D16" s="34"/>
      <c r="E16" s="33"/>
      <c r="F16" s="34"/>
      <c r="G16" s="34"/>
      <c r="H16" s="34"/>
      <c r="I16" s="47"/>
      <c r="J16" s="33"/>
      <c r="K16" s="42"/>
      <c r="L16" s="46"/>
      <c r="M16" s="33"/>
      <c r="N16" s="33"/>
      <c r="O16" s="33"/>
      <c r="P16" s="33"/>
      <c r="Q16" s="50"/>
    </row>
    <row r="17" ht="48" customHeight="1" spans="1:17">
      <c r="A17" s="32">
        <v>16</v>
      </c>
      <c r="B17" s="32"/>
      <c r="C17" s="33"/>
      <c r="D17" s="34"/>
      <c r="E17" s="33"/>
      <c r="F17" s="34"/>
      <c r="G17" s="34"/>
      <c r="H17" s="34"/>
      <c r="I17" s="47"/>
      <c r="J17" s="33"/>
      <c r="K17" s="42"/>
      <c r="L17" s="46"/>
      <c r="M17" s="33"/>
      <c r="N17" s="33"/>
      <c r="O17" s="33"/>
      <c r="P17" s="33"/>
      <c r="Q17" s="50"/>
    </row>
    <row r="18" ht="48" customHeight="1" spans="1:17">
      <c r="A18" s="32">
        <v>17</v>
      </c>
      <c r="B18" s="32"/>
      <c r="C18" s="33"/>
      <c r="D18" s="34"/>
      <c r="E18" s="33"/>
      <c r="F18" s="34"/>
      <c r="G18" s="34"/>
      <c r="H18" s="34"/>
      <c r="I18" s="47"/>
      <c r="J18" s="33"/>
      <c r="K18" s="42"/>
      <c r="L18" s="46"/>
      <c r="M18" s="33"/>
      <c r="N18" s="33"/>
      <c r="O18" s="33"/>
      <c r="P18" s="33"/>
      <c r="Q18" s="50"/>
    </row>
    <row r="19" ht="48" customHeight="1" spans="1:17">
      <c r="A19" s="32">
        <v>18</v>
      </c>
      <c r="B19" s="32"/>
      <c r="C19" s="33"/>
      <c r="D19" s="34"/>
      <c r="E19" s="33"/>
      <c r="F19" s="34"/>
      <c r="G19" s="34"/>
      <c r="H19" s="34"/>
      <c r="I19" s="47"/>
      <c r="J19" s="33"/>
      <c r="K19" s="42"/>
      <c r="L19" s="46"/>
      <c r="M19" s="33"/>
      <c r="N19" s="33"/>
      <c r="O19" s="33"/>
      <c r="P19" s="33"/>
      <c r="Q19" s="50"/>
    </row>
    <row r="20" ht="48" customHeight="1" spans="1:17">
      <c r="A20" s="32">
        <v>19</v>
      </c>
      <c r="B20" s="32"/>
      <c r="C20" s="33"/>
      <c r="D20" s="34"/>
      <c r="E20" s="33"/>
      <c r="F20" s="34"/>
      <c r="G20" s="34"/>
      <c r="H20" s="34"/>
      <c r="I20" s="47"/>
      <c r="J20" s="33"/>
      <c r="K20" s="42"/>
      <c r="L20" s="46"/>
      <c r="M20" s="33"/>
      <c r="N20" s="33"/>
      <c r="O20" s="33"/>
      <c r="P20" s="33"/>
      <c r="Q20" s="50"/>
    </row>
    <row r="21" ht="48" customHeight="1" spans="1:17">
      <c r="A21" s="32">
        <v>20</v>
      </c>
      <c r="B21" s="35"/>
      <c r="C21" s="33"/>
      <c r="D21" s="34"/>
      <c r="E21" s="33"/>
      <c r="F21" s="34"/>
      <c r="G21" s="34"/>
      <c r="H21" s="34"/>
      <c r="I21" s="47"/>
      <c r="J21" s="33"/>
      <c r="K21" s="49"/>
      <c r="L21" s="46"/>
      <c r="M21" s="33"/>
      <c r="N21" s="33"/>
      <c r="O21" s="33"/>
      <c r="P21" s="33"/>
      <c r="Q21" s="50"/>
    </row>
    <row r="22" ht="48" customHeight="1" spans="1:17">
      <c r="A22" s="32">
        <v>21</v>
      </c>
      <c r="B22" s="35"/>
      <c r="C22" s="33"/>
      <c r="D22" s="34"/>
      <c r="E22" s="33"/>
      <c r="F22" s="34"/>
      <c r="G22" s="34"/>
      <c r="H22" s="34"/>
      <c r="I22" s="47"/>
      <c r="J22" s="33"/>
      <c r="K22" s="49"/>
      <c r="L22" s="46"/>
      <c r="M22" s="33"/>
      <c r="N22" s="33"/>
      <c r="O22" s="33"/>
      <c r="P22" s="33"/>
      <c r="Q22" s="50"/>
    </row>
    <row r="23" ht="48" customHeight="1" spans="1:17">
      <c r="A23" s="32">
        <v>22</v>
      </c>
      <c r="B23" s="32"/>
      <c r="C23" s="33"/>
      <c r="D23" s="34"/>
      <c r="E23" s="33"/>
      <c r="F23" s="34"/>
      <c r="G23" s="34"/>
      <c r="H23" s="34"/>
      <c r="I23" s="47"/>
      <c r="J23" s="33"/>
      <c r="K23" s="42"/>
      <c r="L23" s="33"/>
      <c r="M23" s="33"/>
      <c r="N23" s="33"/>
      <c r="O23" s="33"/>
      <c r="P23" s="33"/>
      <c r="Q23" s="50"/>
    </row>
    <row r="24" ht="48" customHeight="1" spans="1:17">
      <c r="A24" s="32">
        <v>23</v>
      </c>
      <c r="B24" s="32"/>
      <c r="C24" s="33"/>
      <c r="D24" s="34"/>
      <c r="E24" s="33"/>
      <c r="F24" s="34"/>
      <c r="G24" s="34"/>
      <c r="H24" s="34"/>
      <c r="I24" s="47"/>
      <c r="J24" s="33"/>
      <c r="K24" s="42"/>
      <c r="L24" s="33"/>
      <c r="M24" s="33"/>
      <c r="N24" s="33"/>
      <c r="O24" s="33"/>
      <c r="P24" s="33"/>
      <c r="Q24" s="50"/>
    </row>
    <row r="25" ht="48" customHeight="1" spans="1:17">
      <c r="A25" s="32">
        <v>24</v>
      </c>
      <c r="B25" s="32"/>
      <c r="C25" s="33"/>
      <c r="D25" s="34"/>
      <c r="E25" s="33"/>
      <c r="F25" s="34"/>
      <c r="G25" s="34"/>
      <c r="H25" s="34"/>
      <c r="I25" s="47"/>
      <c r="J25" s="33"/>
      <c r="K25" s="42"/>
      <c r="L25" s="33"/>
      <c r="M25" s="33"/>
      <c r="N25" s="33"/>
      <c r="O25" s="33"/>
      <c r="P25" s="33"/>
      <c r="Q25" s="50"/>
    </row>
    <row r="26" ht="48" customHeight="1" spans="1:17">
      <c r="A26" s="32">
        <v>25</v>
      </c>
      <c r="B26" s="32"/>
      <c r="C26" s="33"/>
      <c r="D26" s="34"/>
      <c r="E26" s="33"/>
      <c r="F26" s="34"/>
      <c r="G26" s="34"/>
      <c r="H26" s="34"/>
      <c r="I26" s="47"/>
      <c r="J26" s="33"/>
      <c r="K26" s="42"/>
      <c r="L26" s="33"/>
      <c r="M26" s="33"/>
      <c r="N26" s="33"/>
      <c r="O26" s="33"/>
      <c r="P26" s="33"/>
      <c r="Q26" s="50"/>
    </row>
    <row r="27" ht="48" customHeight="1" spans="1:17">
      <c r="A27" s="32">
        <v>26</v>
      </c>
      <c r="B27" s="32"/>
      <c r="C27" s="33"/>
      <c r="D27" s="34"/>
      <c r="E27" s="33"/>
      <c r="F27" s="34"/>
      <c r="G27" s="34"/>
      <c r="H27" s="34"/>
      <c r="I27" s="47"/>
      <c r="J27" s="33"/>
      <c r="K27" s="42"/>
      <c r="L27" s="33"/>
      <c r="M27" s="33"/>
      <c r="N27" s="33"/>
      <c r="O27" s="33"/>
      <c r="P27" s="33"/>
      <c r="Q27" s="50"/>
    </row>
    <row r="28" ht="48" customHeight="1" spans="1:17">
      <c r="A28" s="32">
        <v>27</v>
      </c>
      <c r="B28" s="32"/>
      <c r="C28" s="33"/>
      <c r="D28" s="34"/>
      <c r="E28" s="33"/>
      <c r="F28" s="34"/>
      <c r="G28" s="34"/>
      <c r="H28" s="34"/>
      <c r="I28" s="47"/>
      <c r="J28" s="33"/>
      <c r="K28" s="42"/>
      <c r="L28" s="33"/>
      <c r="M28" s="33"/>
      <c r="N28" s="33"/>
      <c r="O28" s="33"/>
      <c r="P28" s="33"/>
      <c r="Q28" s="50"/>
    </row>
    <row r="29" ht="48" customHeight="1" spans="1:17">
      <c r="A29" s="32">
        <v>28</v>
      </c>
      <c r="B29" s="32"/>
      <c r="C29" s="33"/>
      <c r="D29" s="34"/>
      <c r="E29" s="33"/>
      <c r="F29" s="34"/>
      <c r="G29" s="34"/>
      <c r="H29" s="34"/>
      <c r="I29" s="47"/>
      <c r="J29" s="33"/>
      <c r="K29" s="42"/>
      <c r="L29" s="33"/>
      <c r="M29" s="33"/>
      <c r="N29" s="33"/>
      <c r="O29" s="33"/>
      <c r="P29" s="33"/>
      <c r="Q29" s="50"/>
    </row>
    <row r="30" ht="48" customHeight="1" spans="1:17">
      <c r="A30" s="32">
        <v>29</v>
      </c>
      <c r="B30" s="32"/>
      <c r="C30" s="33"/>
      <c r="D30" s="34"/>
      <c r="E30" s="33"/>
      <c r="F30" s="34"/>
      <c r="G30" s="34"/>
      <c r="H30" s="34"/>
      <c r="I30" s="47"/>
      <c r="J30" s="33"/>
      <c r="K30" s="42"/>
      <c r="L30" s="33"/>
      <c r="M30" s="33"/>
      <c r="N30" s="33"/>
      <c r="O30" s="33"/>
      <c r="P30" s="33"/>
      <c r="Q30" s="50"/>
    </row>
    <row r="31" ht="48" customHeight="1" spans="1:17">
      <c r="A31" s="32">
        <v>30</v>
      </c>
      <c r="B31" s="32"/>
      <c r="C31" s="33"/>
      <c r="D31" s="34"/>
      <c r="E31" s="33"/>
      <c r="F31" s="34"/>
      <c r="G31" s="34"/>
      <c r="H31" s="34"/>
      <c r="I31" s="47"/>
      <c r="J31" s="33"/>
      <c r="K31" s="42"/>
      <c r="L31" s="33"/>
      <c r="M31" s="33"/>
      <c r="N31" s="33"/>
      <c r="O31" s="33"/>
      <c r="P31" s="33"/>
      <c r="Q31" s="50"/>
    </row>
    <row r="32" ht="48" customHeight="1" spans="1:17">
      <c r="A32" s="32">
        <v>31</v>
      </c>
      <c r="B32" s="32"/>
      <c r="C32" s="33"/>
      <c r="D32" s="34"/>
      <c r="E32" s="33"/>
      <c r="F32" s="34"/>
      <c r="G32" s="34"/>
      <c r="H32" s="34"/>
      <c r="I32" s="47"/>
      <c r="J32" s="33"/>
      <c r="K32" s="42"/>
      <c r="L32" s="33"/>
      <c r="M32" s="33"/>
      <c r="N32" s="33"/>
      <c r="O32" s="33"/>
      <c r="P32" s="33"/>
      <c r="Q32" s="50"/>
    </row>
    <row r="33" ht="48" customHeight="1" spans="1:17">
      <c r="A33" s="32">
        <v>32</v>
      </c>
      <c r="B33" s="36"/>
      <c r="C33" s="33"/>
      <c r="D33" s="33"/>
      <c r="E33" s="33"/>
      <c r="F33" s="34"/>
      <c r="G33" s="33"/>
      <c r="H33" s="34"/>
      <c r="I33" s="41"/>
      <c r="J33" s="33"/>
      <c r="K33" s="42"/>
      <c r="L33" s="43"/>
      <c r="M33" s="33"/>
      <c r="N33" s="33"/>
      <c r="O33" s="44"/>
      <c r="P33" s="33"/>
      <c r="Q33" s="50"/>
    </row>
    <row r="34" ht="48" customHeight="1" spans="1:17">
      <c r="A34" s="32">
        <v>33</v>
      </c>
      <c r="B34" s="32"/>
      <c r="C34" s="33"/>
      <c r="D34" s="33"/>
      <c r="E34" s="33"/>
      <c r="F34" s="33"/>
      <c r="G34" s="33"/>
      <c r="H34" s="33"/>
      <c r="I34" s="45"/>
      <c r="J34" s="33"/>
      <c r="K34" s="42"/>
      <c r="L34" s="46"/>
      <c r="M34" s="33"/>
      <c r="N34" s="33"/>
      <c r="O34" s="33"/>
      <c r="P34" s="33"/>
      <c r="Q34" s="50"/>
    </row>
    <row r="35" ht="48" customHeight="1" spans="1:17">
      <c r="A35" s="32">
        <v>34</v>
      </c>
      <c r="B35" s="32"/>
      <c r="C35" s="33"/>
      <c r="D35" s="33"/>
      <c r="E35" s="33"/>
      <c r="F35" s="33"/>
      <c r="G35" s="33"/>
      <c r="H35" s="33"/>
      <c r="I35" s="45"/>
      <c r="J35" s="33"/>
      <c r="K35" s="42"/>
      <c r="L35" s="46"/>
      <c r="M35" s="33"/>
      <c r="N35" s="33"/>
      <c r="O35" s="33"/>
      <c r="P35" s="33"/>
      <c r="Q35" s="50"/>
    </row>
    <row r="36" ht="48" customHeight="1" spans="1:17">
      <c r="A36" s="32">
        <v>35</v>
      </c>
      <c r="B36" s="32"/>
      <c r="C36" s="33"/>
      <c r="D36" s="34"/>
      <c r="E36" s="33"/>
      <c r="F36" s="34"/>
      <c r="G36" s="34"/>
      <c r="H36" s="34"/>
      <c r="I36" s="47"/>
      <c r="J36" s="33"/>
      <c r="K36" s="42"/>
      <c r="L36" s="46"/>
      <c r="M36" s="33"/>
      <c r="N36" s="33"/>
      <c r="O36" s="33"/>
      <c r="P36" s="33"/>
      <c r="Q36" s="50"/>
    </row>
    <row r="37" ht="48" customHeight="1" spans="1:17">
      <c r="A37" s="32">
        <v>36</v>
      </c>
      <c r="B37" s="32"/>
      <c r="C37" s="33"/>
      <c r="D37" s="34"/>
      <c r="E37" s="33"/>
      <c r="F37" s="34"/>
      <c r="G37" s="34"/>
      <c r="H37" s="34"/>
      <c r="I37" s="47"/>
      <c r="J37" s="33"/>
      <c r="K37" s="42"/>
      <c r="L37" s="46"/>
      <c r="M37" s="33"/>
      <c r="N37" s="33"/>
      <c r="O37" s="33"/>
      <c r="P37" s="33"/>
      <c r="Q37" s="50"/>
    </row>
    <row r="38" ht="48" customHeight="1" spans="1:17">
      <c r="A38" s="32">
        <v>37</v>
      </c>
      <c r="B38" s="32"/>
      <c r="C38" s="33"/>
      <c r="D38" s="34"/>
      <c r="E38" s="33"/>
      <c r="F38" s="34"/>
      <c r="G38" s="34"/>
      <c r="H38" s="34"/>
      <c r="I38" s="47"/>
      <c r="J38" s="33"/>
      <c r="K38" s="42"/>
      <c r="L38" s="46"/>
      <c r="M38" s="46"/>
      <c r="N38" s="33"/>
      <c r="O38" s="33"/>
      <c r="P38" s="33"/>
      <c r="Q38" s="50"/>
    </row>
    <row r="39" ht="48" customHeight="1" spans="1:17">
      <c r="A39" s="32">
        <v>38</v>
      </c>
      <c r="B39" s="32"/>
      <c r="C39" s="33"/>
      <c r="D39" s="34"/>
      <c r="E39" s="33"/>
      <c r="F39" s="34"/>
      <c r="G39" s="34"/>
      <c r="H39" s="34"/>
      <c r="I39" s="47"/>
      <c r="J39" s="33"/>
      <c r="K39" s="42"/>
      <c r="L39" s="33"/>
      <c r="M39" s="33"/>
      <c r="N39" s="33"/>
      <c r="O39" s="33"/>
      <c r="P39" s="33"/>
      <c r="Q39" s="50"/>
    </row>
    <row r="40" ht="48" customHeight="1" spans="1:17">
      <c r="A40" s="32">
        <v>39</v>
      </c>
      <c r="B40" s="32"/>
      <c r="C40" s="33"/>
      <c r="D40" s="34"/>
      <c r="E40" s="33"/>
      <c r="F40" s="34"/>
      <c r="G40" s="34"/>
      <c r="H40" s="34"/>
      <c r="I40" s="47"/>
      <c r="J40" s="33"/>
      <c r="K40" s="42"/>
      <c r="L40" s="33"/>
      <c r="M40" s="33"/>
      <c r="N40" s="33"/>
      <c r="O40" s="33"/>
      <c r="P40" s="33"/>
      <c r="Q40" s="50"/>
    </row>
    <row r="41" ht="48" customHeight="1" spans="1:17">
      <c r="A41" s="32">
        <v>40</v>
      </c>
      <c r="B41" s="32"/>
      <c r="C41" s="37"/>
      <c r="D41" s="34"/>
      <c r="E41" s="37"/>
      <c r="F41" s="34"/>
      <c r="G41" s="34"/>
      <c r="H41" s="34"/>
      <c r="I41" s="47"/>
      <c r="J41" s="37"/>
      <c r="K41" s="42"/>
      <c r="L41" s="37"/>
      <c r="M41" s="37"/>
      <c r="N41" s="37"/>
      <c r="O41" s="37"/>
      <c r="P41" s="37"/>
      <c r="Q41" s="50"/>
    </row>
    <row r="42" ht="48" customHeight="1" spans="1:17">
      <c r="A42" s="32">
        <v>41</v>
      </c>
      <c r="B42" s="32"/>
      <c r="C42" s="37"/>
      <c r="D42" s="34"/>
      <c r="E42" s="37"/>
      <c r="F42" s="34"/>
      <c r="G42" s="34"/>
      <c r="H42" s="34"/>
      <c r="I42" s="47"/>
      <c r="J42" s="37"/>
      <c r="K42" s="42"/>
      <c r="L42" s="37"/>
      <c r="M42" s="37"/>
      <c r="N42" s="37"/>
      <c r="O42" s="37"/>
      <c r="P42" s="37"/>
      <c r="Q42" s="50"/>
    </row>
    <row r="43" ht="48" customHeight="1" spans="1:17">
      <c r="A43" s="32">
        <v>42</v>
      </c>
      <c r="B43" s="32"/>
      <c r="C43" s="37"/>
      <c r="D43" s="34"/>
      <c r="E43" s="37"/>
      <c r="F43" s="34"/>
      <c r="G43" s="34"/>
      <c r="H43" s="34"/>
      <c r="I43" s="47"/>
      <c r="J43" s="37"/>
      <c r="K43" s="42"/>
      <c r="L43" s="37"/>
      <c r="M43" s="37"/>
      <c r="N43" s="37"/>
      <c r="O43" s="37"/>
      <c r="P43" s="37"/>
      <c r="Q43" s="50"/>
    </row>
    <row r="44" ht="48" customHeight="1" spans="1:17">
      <c r="A44" s="32">
        <v>43</v>
      </c>
      <c r="B44" s="32"/>
      <c r="C44" s="37"/>
      <c r="D44" s="34"/>
      <c r="E44" s="37"/>
      <c r="F44" s="34"/>
      <c r="G44" s="34"/>
      <c r="H44" s="34"/>
      <c r="I44" s="47"/>
      <c r="J44" s="37"/>
      <c r="K44" s="42"/>
      <c r="L44" s="37"/>
      <c r="M44" s="37"/>
      <c r="N44" s="37"/>
      <c r="O44" s="37"/>
      <c r="P44" s="37"/>
      <c r="Q44" s="50"/>
    </row>
  </sheetData>
  <dataValidations count="1">
    <dataValidation type="list" allowBlank="1" showInputMessage="1" showErrorMessage="1" sqref="F11 F33 F38 F2:F6 F13:F20 F21:F22 F36:F37">
      <formula1>"是,否"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pageSetUpPr fitToPage="1"/>
  </sheetPr>
  <dimension ref="A1:H39"/>
  <sheetViews>
    <sheetView zoomScale="55" zoomScaleNormal="55" topLeftCell="A14" workbookViewId="0">
      <selection activeCell="A3" sqref="A3:F3"/>
    </sheetView>
  </sheetViews>
  <sheetFormatPr defaultColWidth="9" defaultRowHeight="14.4" outlineLevelCol="7"/>
  <cols>
    <col min="1" max="1" width="24.5" style="4" customWidth="1"/>
    <col min="2" max="2" width="13.1851851851852" style="4" customWidth="1"/>
    <col min="3" max="3" width="17.9259259259259" style="4" customWidth="1"/>
    <col min="4" max="4" width="24.4444444444444" style="5" customWidth="1"/>
    <col min="5" max="5" width="16.5" style="5" customWidth="1"/>
    <col min="6" max="6" width="51.8425925925926" style="4" customWidth="1"/>
    <col min="7" max="7" width="52.9351851851852" style="4" customWidth="1"/>
    <col min="8" max="8" width="17.1111111111111" style="4" customWidth="1"/>
    <col min="9" max="9" width="18.8055555555556" style="4" customWidth="1"/>
    <col min="10" max="10" width="9" style="4" customWidth="1"/>
    <col min="11" max="11" width="14.4074074074074" style="4" customWidth="1"/>
    <col min="12" max="16384" width="9" style="4" customWidth="1"/>
  </cols>
  <sheetData>
    <row r="1" s="1" customFormat="1" ht="26" customHeight="1" spans="1:1">
      <c r="A1" s="6" t="s">
        <v>134</v>
      </c>
    </row>
    <row r="2" s="1" customFormat="1" ht="26" customHeight="1" spans="1:6">
      <c r="A2" s="7"/>
      <c r="B2" s="7"/>
      <c r="C2" s="7"/>
      <c r="D2" s="7"/>
      <c r="E2" s="7"/>
      <c r="F2" s="7"/>
    </row>
    <row r="3" s="1" customFormat="1" ht="26" customHeight="1" spans="1:7">
      <c r="A3" s="8" t="s">
        <v>135</v>
      </c>
      <c r="G3" s="9"/>
    </row>
    <row r="4" s="1" customFormat="1" ht="225" customHeight="1" spans="1:7">
      <c r="A4" s="10" t="s">
        <v>136</v>
      </c>
      <c r="G4" s="11"/>
    </row>
    <row r="5" s="2" customFormat="1" ht="17.4" customHeight="1" spans="1:7">
      <c r="A5" s="12" t="s">
        <v>3</v>
      </c>
      <c r="B5" s="12" t="s">
        <v>137</v>
      </c>
      <c r="C5" s="12" t="s">
        <v>138</v>
      </c>
      <c r="D5" s="12" t="s">
        <v>139</v>
      </c>
      <c r="E5" s="12" t="s">
        <v>140</v>
      </c>
      <c r="F5" s="12" t="s">
        <v>18</v>
      </c>
      <c r="G5" s="13"/>
    </row>
    <row r="6" s="2" customFormat="1" ht="69" customHeight="1" spans="1:7">
      <c r="A6" s="12" t="s">
        <v>19</v>
      </c>
      <c r="B6" s="14">
        <v>2</v>
      </c>
      <c r="C6" s="15">
        <v>118200</v>
      </c>
      <c r="D6" s="14">
        <v>2</v>
      </c>
      <c r="E6" s="15">
        <v>118200</v>
      </c>
      <c r="F6" s="16"/>
      <c r="G6" s="13"/>
    </row>
    <row r="7" s="2" customFormat="1" ht="99" customHeight="1" spans="1:7">
      <c r="A7" s="12" t="s">
        <v>21</v>
      </c>
      <c r="B7" s="14">
        <v>3</v>
      </c>
      <c r="C7" s="15">
        <v>42000</v>
      </c>
      <c r="D7" s="14">
        <v>0</v>
      </c>
      <c r="E7" s="15">
        <v>0</v>
      </c>
      <c r="F7" s="16"/>
      <c r="G7" s="13"/>
    </row>
    <row r="8" s="2" customFormat="1" ht="68" customHeight="1" spans="1:7">
      <c r="A8" s="12" t="s">
        <v>68</v>
      </c>
      <c r="B8" s="14">
        <v>3</v>
      </c>
      <c r="C8" s="15">
        <v>40000</v>
      </c>
      <c r="D8" s="14">
        <v>1</v>
      </c>
      <c r="E8" s="15">
        <v>10000</v>
      </c>
      <c r="F8" s="16"/>
      <c r="G8" s="13"/>
    </row>
    <row r="9" s="2" customFormat="1" ht="126" customHeight="1" spans="1:7">
      <c r="A9" s="12" t="s">
        <v>69</v>
      </c>
      <c r="B9" s="14">
        <v>9</v>
      </c>
      <c r="C9" s="15">
        <v>127000</v>
      </c>
      <c r="D9" s="14">
        <v>0</v>
      </c>
      <c r="E9" s="15">
        <v>0</v>
      </c>
      <c r="F9" s="17"/>
      <c r="G9" s="13"/>
    </row>
    <row r="10" s="2" customFormat="1" ht="114" customHeight="1" spans="1:7">
      <c r="A10" s="12" t="s">
        <v>70</v>
      </c>
      <c r="B10" s="14">
        <v>11</v>
      </c>
      <c r="C10" s="15">
        <v>148000</v>
      </c>
      <c r="D10" s="14">
        <v>1</v>
      </c>
      <c r="E10" s="15">
        <v>8000</v>
      </c>
      <c r="F10" s="16"/>
      <c r="G10" s="13"/>
    </row>
    <row r="11" s="2" customFormat="1" ht="75" customHeight="1" spans="1:7">
      <c r="A11" s="12" t="s">
        <v>71</v>
      </c>
      <c r="B11" s="14">
        <v>10</v>
      </c>
      <c r="C11" s="15">
        <v>145000</v>
      </c>
      <c r="D11" s="14">
        <v>2</v>
      </c>
      <c r="E11" s="15">
        <v>20000</v>
      </c>
      <c r="F11" s="16"/>
      <c r="G11" s="13"/>
    </row>
    <row r="12" s="2" customFormat="1" ht="66" customHeight="1" spans="1:7">
      <c r="A12" s="18" t="s">
        <v>141</v>
      </c>
      <c r="B12" s="14">
        <v>8</v>
      </c>
      <c r="C12" s="15">
        <v>151000</v>
      </c>
      <c r="D12" s="14">
        <v>2</v>
      </c>
      <c r="E12" s="15">
        <v>70000</v>
      </c>
      <c r="F12" s="19"/>
      <c r="G12" s="13"/>
    </row>
    <row r="13" s="2" customFormat="1" ht="94" customHeight="1" spans="1:7">
      <c r="A13" s="12" t="s">
        <v>125</v>
      </c>
      <c r="B13" s="14">
        <v>5</v>
      </c>
      <c r="C13" s="15">
        <v>65000</v>
      </c>
      <c r="D13" s="14">
        <v>1</v>
      </c>
      <c r="E13" s="15">
        <v>20000</v>
      </c>
      <c r="F13" s="16"/>
      <c r="G13" s="13"/>
    </row>
    <row r="14" s="2" customFormat="1" ht="36" customHeight="1" spans="1:7">
      <c r="A14" s="12" t="s">
        <v>126</v>
      </c>
      <c r="B14" s="12">
        <v>51</v>
      </c>
      <c r="C14" s="20">
        <v>836200</v>
      </c>
      <c r="D14" s="12">
        <v>9</v>
      </c>
      <c r="E14" s="20">
        <v>246200</v>
      </c>
      <c r="F14" s="21"/>
      <c r="G14" s="13"/>
    </row>
    <row r="15" s="2" customFormat="1" ht="48" customHeight="1" spans="1:7">
      <c r="A15" s="22" t="s">
        <v>142</v>
      </c>
      <c r="G15" s="13"/>
    </row>
    <row r="16" s="2" customFormat="1" ht="17.4" customHeight="1" spans="1:7">
      <c r="A16" s="12" t="s">
        <v>143</v>
      </c>
      <c r="B16" s="12" t="s">
        <v>139</v>
      </c>
      <c r="C16" s="12" t="s">
        <v>140</v>
      </c>
      <c r="D16" s="12" t="s">
        <v>129</v>
      </c>
      <c r="E16" s="12" t="s">
        <v>139</v>
      </c>
      <c r="F16" s="12" t="s">
        <v>140</v>
      </c>
      <c r="G16" s="13"/>
    </row>
    <row r="17" s="2" customFormat="1" ht="17.4" customHeight="1" spans="1:7">
      <c r="A17" s="14" t="s">
        <v>144</v>
      </c>
      <c r="B17" s="14">
        <v>4</v>
      </c>
      <c r="C17" s="15">
        <v>133200</v>
      </c>
      <c r="D17" s="14" t="s">
        <v>145</v>
      </c>
      <c r="E17" s="14">
        <v>2</v>
      </c>
      <c r="F17" s="15">
        <v>20000</v>
      </c>
      <c r="G17" s="13"/>
    </row>
    <row r="18" s="2" customFormat="1" ht="17.4" customHeight="1" spans="1:7">
      <c r="A18" s="14" t="s">
        <v>146</v>
      </c>
      <c r="B18" s="14">
        <v>0</v>
      </c>
      <c r="C18" s="15">
        <v>0</v>
      </c>
      <c r="D18" s="14" t="s">
        <v>147</v>
      </c>
      <c r="E18" s="14">
        <v>1</v>
      </c>
      <c r="F18" s="15">
        <v>20000</v>
      </c>
      <c r="G18" s="13"/>
    </row>
    <row r="19" s="2" customFormat="1" ht="17.4" customHeight="1" spans="1:7">
      <c r="A19" s="14" t="s">
        <v>148</v>
      </c>
      <c r="B19" s="14">
        <v>1</v>
      </c>
      <c r="C19" s="15">
        <v>15000</v>
      </c>
      <c r="D19" s="14" t="s">
        <v>149</v>
      </c>
      <c r="E19" s="14">
        <v>6</v>
      </c>
      <c r="F19" s="15">
        <v>206200</v>
      </c>
      <c r="G19" s="13"/>
    </row>
    <row r="20" s="2" customFormat="1" ht="17.4" customHeight="1" spans="1:7">
      <c r="A20" s="14" t="s">
        <v>150</v>
      </c>
      <c r="B20" s="14">
        <v>4</v>
      </c>
      <c r="C20" s="15">
        <v>98000</v>
      </c>
      <c r="D20" s="12" t="s">
        <v>126</v>
      </c>
      <c r="E20" s="12">
        <v>9</v>
      </c>
      <c r="F20" s="20">
        <v>246200</v>
      </c>
      <c r="G20" s="13"/>
    </row>
    <row r="21" s="2" customFormat="1" ht="17.4" customHeight="1" spans="1:7">
      <c r="A21" s="12" t="s">
        <v>126</v>
      </c>
      <c r="B21" s="12">
        <v>9</v>
      </c>
      <c r="C21" s="20">
        <v>246200</v>
      </c>
      <c r="D21" s="14"/>
      <c r="E21" s="14"/>
      <c r="F21" s="23"/>
      <c r="G21" s="13"/>
    </row>
    <row r="22" s="2" customFormat="1" ht="17.4" customHeight="1" spans="1:6">
      <c r="A22" s="24"/>
      <c r="B22" s="24"/>
      <c r="C22" s="24"/>
      <c r="D22" s="25"/>
      <c r="E22" s="25"/>
      <c r="F22" s="26"/>
    </row>
    <row r="23" s="2" customFormat="1" ht="48" customHeight="1" spans="1:1">
      <c r="A23" s="22" t="s">
        <v>151</v>
      </c>
    </row>
    <row r="24" s="3" customFormat="1" ht="17.4" customHeight="1" spans="1:8">
      <c r="A24" s="12" t="s">
        <v>152</v>
      </c>
      <c r="B24" s="12" t="s">
        <v>139</v>
      </c>
      <c r="C24" s="12" t="s">
        <v>140</v>
      </c>
      <c r="D24" s="12" t="s">
        <v>153</v>
      </c>
      <c r="E24" s="12" t="s">
        <v>139</v>
      </c>
      <c r="F24" s="12" t="s">
        <v>140</v>
      </c>
      <c r="H24" s="2"/>
    </row>
    <row r="25" s="2" customFormat="1" ht="17.4" customHeight="1" spans="1:6">
      <c r="A25" s="14" t="s">
        <v>154</v>
      </c>
      <c r="B25" s="14">
        <v>2</v>
      </c>
      <c r="C25" s="15">
        <v>132200</v>
      </c>
      <c r="D25" s="14" t="s">
        <v>23</v>
      </c>
      <c r="E25" s="14">
        <v>1</v>
      </c>
      <c r="F25" s="15">
        <v>112200</v>
      </c>
    </row>
    <row r="26" s="2" customFormat="1" ht="13.5" customHeight="1" spans="1:7">
      <c r="A26" s="14" t="s">
        <v>155</v>
      </c>
      <c r="B26" s="14">
        <v>2</v>
      </c>
      <c r="C26" s="15">
        <v>28000</v>
      </c>
      <c r="D26" s="14" t="s">
        <v>49</v>
      </c>
      <c r="E26" s="14">
        <v>3</v>
      </c>
      <c r="F26" s="15">
        <v>85000</v>
      </c>
      <c r="G26" s="3"/>
    </row>
    <row r="27" s="2" customFormat="1" ht="17.4" customHeight="1" spans="1:6">
      <c r="A27" s="14" t="s">
        <v>156</v>
      </c>
      <c r="B27" s="14">
        <v>1</v>
      </c>
      <c r="C27" s="15">
        <v>15000</v>
      </c>
      <c r="D27" s="14" t="s">
        <v>33</v>
      </c>
      <c r="E27" s="14">
        <v>5</v>
      </c>
      <c r="F27" s="15">
        <v>49000</v>
      </c>
    </row>
    <row r="28" s="2" customFormat="1" ht="17.4" customHeight="1" spans="1:6">
      <c r="A28" s="14" t="s">
        <v>157</v>
      </c>
      <c r="B28" s="14">
        <v>1</v>
      </c>
      <c r="C28" s="15">
        <v>10000</v>
      </c>
      <c r="D28" s="14" t="s">
        <v>158</v>
      </c>
      <c r="E28" s="14">
        <v>0</v>
      </c>
      <c r="F28" s="27">
        <v>0</v>
      </c>
    </row>
    <row r="29" s="2" customFormat="1" ht="17.4" customHeight="1" spans="1:6">
      <c r="A29" s="14" t="s">
        <v>159</v>
      </c>
      <c r="B29" s="14">
        <v>1</v>
      </c>
      <c r="C29" s="15">
        <v>50000</v>
      </c>
      <c r="D29" s="14" t="s">
        <v>160</v>
      </c>
      <c r="E29" s="14">
        <v>0</v>
      </c>
      <c r="F29" s="15">
        <v>0</v>
      </c>
    </row>
    <row r="30" s="2" customFormat="1" ht="17.4" customHeight="1" spans="1:6">
      <c r="A30" s="14" t="s">
        <v>161</v>
      </c>
      <c r="B30" s="14">
        <v>2</v>
      </c>
      <c r="C30" s="15">
        <v>11000</v>
      </c>
      <c r="D30" s="12" t="s">
        <v>126</v>
      </c>
      <c r="E30" s="12">
        <v>9</v>
      </c>
      <c r="F30" s="20">
        <v>246200</v>
      </c>
    </row>
    <row r="31" s="2" customFormat="1" ht="17.4" customHeight="1" spans="1:6">
      <c r="A31" s="12" t="s">
        <v>126</v>
      </c>
      <c r="B31" s="12">
        <v>9</v>
      </c>
      <c r="C31" s="20">
        <v>246200</v>
      </c>
      <c r="D31" s="12"/>
      <c r="E31" s="14"/>
      <c r="F31" s="14"/>
    </row>
    <row r="32" s="2" customFormat="1" ht="48" customHeight="1" spans="1:1">
      <c r="A32" s="22" t="s">
        <v>162</v>
      </c>
    </row>
    <row r="33" s="2" customFormat="1" ht="17.4" customHeight="1" spans="1:6">
      <c r="A33" s="12" t="s">
        <v>163</v>
      </c>
      <c r="B33" s="12" t="s">
        <v>139</v>
      </c>
      <c r="C33" s="12" t="s">
        <v>140</v>
      </c>
      <c r="D33" s="12" t="s">
        <v>164</v>
      </c>
      <c r="E33" s="12" t="s">
        <v>139</v>
      </c>
      <c r="F33" s="12" t="s">
        <v>140</v>
      </c>
    </row>
    <row r="34" s="2" customFormat="1" ht="17.4" customHeight="1" spans="1:6">
      <c r="A34" s="14" t="s">
        <v>165</v>
      </c>
      <c r="B34" s="14">
        <v>1</v>
      </c>
      <c r="C34" s="15">
        <v>20000</v>
      </c>
      <c r="D34" s="14" t="s">
        <v>166</v>
      </c>
      <c r="E34" s="14">
        <v>0</v>
      </c>
      <c r="F34" s="27">
        <v>0</v>
      </c>
    </row>
    <row r="35" s="2" customFormat="1" ht="17.4" customHeight="1" spans="1:6">
      <c r="A35" s="14" t="s">
        <v>150</v>
      </c>
      <c r="B35" s="14">
        <v>8</v>
      </c>
      <c r="C35" s="15">
        <v>226200</v>
      </c>
      <c r="D35" s="14" t="s">
        <v>167</v>
      </c>
      <c r="E35" s="14">
        <v>0</v>
      </c>
      <c r="F35" s="15">
        <v>0</v>
      </c>
    </row>
    <row r="36" s="2" customFormat="1" ht="17.4" customHeight="1" spans="1:6">
      <c r="A36" s="12" t="s">
        <v>126</v>
      </c>
      <c r="B36" s="12">
        <v>9</v>
      </c>
      <c r="C36" s="20">
        <v>246200</v>
      </c>
      <c r="D36" s="14" t="s">
        <v>168</v>
      </c>
      <c r="E36" s="14">
        <v>6</v>
      </c>
      <c r="F36" s="15">
        <v>114000</v>
      </c>
    </row>
    <row r="37" s="2" customFormat="1" ht="17.4" customHeight="1" spans="1:6">
      <c r="A37" s="28"/>
      <c r="B37" s="28"/>
      <c r="C37" s="28"/>
      <c r="D37" s="14" t="s">
        <v>169</v>
      </c>
      <c r="E37" s="14">
        <v>2</v>
      </c>
      <c r="F37" s="15">
        <v>20000</v>
      </c>
    </row>
    <row r="38" s="2" customFormat="1" ht="17.4" customHeight="1" spans="1:6">
      <c r="A38" s="28"/>
      <c r="B38" s="28"/>
      <c r="C38" s="28"/>
      <c r="D38" s="14" t="s">
        <v>170</v>
      </c>
      <c r="E38" s="14">
        <v>1</v>
      </c>
      <c r="F38" s="15">
        <v>112200</v>
      </c>
    </row>
    <row r="39" s="2" customFormat="1" ht="17.4" customHeight="1" spans="1:6">
      <c r="A39" s="28"/>
      <c r="B39" s="28"/>
      <c r="C39" s="28"/>
      <c r="D39" s="12" t="s">
        <v>126</v>
      </c>
      <c r="E39" s="12">
        <v>9</v>
      </c>
      <c r="F39" s="20">
        <v>246200</v>
      </c>
    </row>
  </sheetData>
  <mergeCells count="6">
    <mergeCell ref="A1:F1"/>
    <mergeCell ref="A3:F3"/>
    <mergeCell ref="A4:F4"/>
    <mergeCell ref="A15:F15"/>
    <mergeCell ref="A23:F23"/>
    <mergeCell ref="A32:F32"/>
  </mergeCells>
  <printOptions horizontalCentered="1"/>
  <pageMargins left="0.751388888888889" right="0.751388888888889" top="1" bottom="1" header="0.5" footer="0.5"/>
  <pageSetup paperSize="9" scale="63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汇总表</vt:lpstr>
      <vt:lpstr>分类表</vt:lpstr>
      <vt:lpstr>数据源</vt:lpstr>
      <vt:lpstr>数据分析表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聂云阳</dc:creator>
  <cp:lastModifiedBy>admin</cp:lastModifiedBy>
  <dcterms:created xsi:type="dcterms:W3CDTF">2024-07-07T19:18:00Z</dcterms:created>
  <dcterms:modified xsi:type="dcterms:W3CDTF">2025-11-22T02:56:22Z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EM_Doc_Temp_ID">
    <vt:lpwstr>66e5dd61</vt:lpwstr>
  </property>
  <property fmtid="{D5CDD505-2E9C-101B-9397-08002B2CF9AE}" pid="4" name="KSOProductBuildVer">
    <vt:lpwstr>2052-11.8.2.11734</vt:lpwstr>
  </property>
  <property fmtid="{D5CDD505-2E9C-101B-9397-08002B2CF9AE}" pid="5" name="ICV">
    <vt:lpwstr>7FA65B8BA8704170871ECDC75071B5C0</vt:lpwstr>
  </property>
</Properties>
</file>